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ate1904="1" defaultThemeVersion="166925"/>
  <mc:AlternateContent xmlns:mc="http://schemas.openxmlformats.org/markup-compatibility/2006">
    <mc:Choice Requires="x15">
      <x15ac:absPath xmlns:x15ac="http://schemas.microsoft.com/office/spreadsheetml/2010/11/ac" url="/Users/Henle/Documents/Dateien/Publikationen/Methodenbuch/Ulmer Texte/Daten/Online/"/>
    </mc:Choice>
  </mc:AlternateContent>
  <xr:revisionPtr revIDLastSave="0" documentId="8_{75C8A955-BADB-F948-BC9D-4D51891CF1C9}" xr6:coauthVersionLast="47" xr6:coauthVersionMax="47" xr10:uidLastSave="{00000000-0000-0000-0000-000000000000}"/>
  <bookViews>
    <workbookView xWindow="2920" yWindow="500" windowWidth="16740" windowHeight="10200" tabRatio="500" xr2:uid="{00000000-000D-0000-FFFF-FFFF00000000}"/>
  </bookViews>
  <sheets>
    <sheet name="Kanada-Ageclass" sheetId="1" r:id="rId1"/>
  </sheets>
  <definedNames>
    <definedName name="_xlnm.Print_Area" localSheetId="0">'Kanada-Ageclass'!$B$22:$O$47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4" i="1" l="1"/>
  <c r="C55" i="1"/>
  <c r="B55" i="1"/>
  <c r="B54" i="1"/>
  <c r="C26" i="1"/>
  <c r="D26" i="1"/>
  <c r="C27" i="1"/>
  <c r="D27" i="1"/>
  <c r="C43" i="1"/>
  <c r="B53" i="1" s="1"/>
  <c r="D43" i="1"/>
  <c r="C44" i="1"/>
  <c r="D44" i="1"/>
  <c r="C32" i="1" l="1"/>
  <c r="B32" i="1"/>
  <c r="C50" i="1"/>
  <c r="C51" i="1" s="1"/>
  <c r="C52" i="1" s="1"/>
  <c r="B50" i="1"/>
  <c r="B51" i="1" s="1"/>
  <c r="B52" i="1" s="1"/>
  <c r="B49" i="1"/>
  <c r="C49" i="1"/>
  <c r="C53" i="1"/>
  <c r="C34" i="1"/>
  <c r="B33" i="1" l="1"/>
  <c r="B34" i="1"/>
  <c r="B35" i="1"/>
  <c r="B36" i="1" s="1"/>
  <c r="C33" i="1"/>
  <c r="C35" i="1"/>
  <c r="C36" i="1" s="1"/>
</calcChain>
</file>

<file path=xl/sharedStrings.xml><?xml version="1.0" encoding="utf-8"?>
<sst xmlns="http://schemas.openxmlformats.org/spreadsheetml/2006/main" count="75" uniqueCount="62">
  <si>
    <t>rj</t>
  </si>
  <si>
    <t>na</t>
  </si>
  <si>
    <t>Ra</t>
  </si>
  <si>
    <t>ra</t>
  </si>
  <si>
    <t>Ma (bias adjusted)</t>
  </si>
  <si>
    <t>Ma</t>
  </si>
  <si>
    <t>ma</t>
  </si>
  <si>
    <t>za</t>
  </si>
  <si>
    <t>–</t>
  </si>
  <si>
    <t>Tab. 11.11-11.12, Beispiel 11.4, Analyse der Überlebensrate von Kanadagänsen mit Altersklassenmodell</t>
  </si>
  <si>
    <t>Datenquelle</t>
  </si>
  <si>
    <t>Raveling, D.G. (1978): Dynamics of distribution of Canada geese in winter. – Transactions of the North American Wildlife and Natural Resources Conference 43: 206–225</t>
  </si>
  <si>
    <t>Pollock, K.H., Nichols, J.D., Brownie, C., Hines, J.E. (1990): Statistical inference for capture-recapture experiments. – Wildlife Monographs 107: 1–97</t>
  </si>
  <si>
    <t>Parameterdefinitionen</t>
  </si>
  <si>
    <t>i, j</t>
  </si>
  <si>
    <t>Fanggelegenheit</t>
  </si>
  <si>
    <t>ni</t>
  </si>
  <si>
    <t>Anzahl bei Fanggelegenheit i erfasster Gänse</t>
  </si>
  <si>
    <t>Ri</t>
  </si>
  <si>
    <t>Anzahl bei Fanggelegenheit i erfasster Gänse, die der Population nicht entnommen wurden</t>
  </si>
  <si>
    <r>
      <t xml:space="preserve">Anzahl Individuen von </t>
    </r>
    <r>
      <rPr>
        <i/>
        <sz val="11"/>
        <color theme="1"/>
        <rFont val="Calibri"/>
        <family val="2"/>
        <scheme val="minor"/>
      </rPr>
      <t>R</t>
    </r>
    <r>
      <rPr>
        <i/>
        <vertAlign val="subscript"/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 xml:space="preserve">, die zum Zeitpunkt </t>
    </r>
    <r>
      <rPr>
        <i/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 xml:space="preserve"> freigelassen und bei einem späteren Fangtermin wiedergefangen wurden</t>
    </r>
  </si>
  <si>
    <t>mi</t>
  </si>
  <si>
    <r>
      <t xml:space="preserve">Anzahl markierter Individuen, die bei der </t>
    </r>
    <r>
      <rPr>
        <i/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>-ten Erfassung wiedergefangen/festgestellt wurden</t>
    </r>
  </si>
  <si>
    <t>mij</t>
  </si>
  <si>
    <t>Anzahl der Gänse, die zum Zeitpunkt i und zuletzt davor zum Zeitpunkt j gefangen wurden (1≤j≤i-1)</t>
  </si>
  <si>
    <t>Mi</t>
  </si>
  <si>
    <r>
      <t xml:space="preserve">Anzahl markierter Tiere, die sich zum Zeitpunkt der </t>
    </r>
    <r>
      <rPr>
        <i/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>-ten Erfassung in der Population befinden</t>
    </r>
  </si>
  <si>
    <t>pi</t>
  </si>
  <si>
    <t>Fangwahrscheinlichkeit bei Fanggelegenheit i</t>
  </si>
  <si>
    <t>qi</t>
  </si>
  <si>
    <t>s.e.</t>
  </si>
  <si>
    <t>Standardfehler</t>
  </si>
  <si>
    <t>zi</t>
  </si>
  <si>
    <r>
      <rPr>
        <sz val="11"/>
        <color theme="1"/>
        <rFont val="Calibri"/>
        <family val="2"/>
        <scheme val="minor"/>
      </rPr>
      <t xml:space="preserve">Anzahl Tiere, die vor der Fanggelegenheit </t>
    </r>
    <r>
      <rPr>
        <i/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 xml:space="preserve"> markiert und bei Fanggelegenheit </t>
    </r>
    <r>
      <rPr>
        <i/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 xml:space="preserve"> nicht, jedoch bei einer späteren Fanggelegenheit wiedergefangen wurden</t>
    </r>
  </si>
  <si>
    <r>
      <rPr>
        <sz val="12"/>
        <color theme="1"/>
        <rFont val="Symbol"/>
        <charset val="2"/>
      </rPr>
      <t>f</t>
    </r>
    <r>
      <rPr>
        <sz val="10"/>
        <rFont val="Geneva"/>
        <family val="2"/>
      </rPr>
      <t>i</t>
    </r>
    <r>
      <rPr>
        <sz val="12"/>
        <color theme="1"/>
        <rFont val="Calibri"/>
        <family val="2"/>
        <charset val="2"/>
        <scheme val="minor"/>
      </rPr>
      <t>ad</t>
    </r>
  </si>
  <si>
    <r>
      <t xml:space="preserve">Überlebenswahrscheinlichkeit aller adulten weiblichen Kanadagänse zwischen der </t>
    </r>
    <r>
      <rPr>
        <i/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>-ten und (</t>
    </r>
    <r>
      <rPr>
        <i/>
        <sz val="11"/>
        <color theme="1"/>
        <rFont val="Calibri"/>
        <family val="2"/>
        <scheme val="minor"/>
      </rPr>
      <t>i+</t>
    </r>
    <r>
      <rPr>
        <sz val="11"/>
        <color theme="1"/>
        <rFont val="Calibri"/>
        <family val="2"/>
        <scheme val="minor"/>
      </rPr>
      <t>1)-ten Erfassung</t>
    </r>
  </si>
  <si>
    <r>
      <rPr>
        <sz val="12"/>
        <color theme="1"/>
        <rFont val="Symbol"/>
        <charset val="2"/>
      </rPr>
      <t>f</t>
    </r>
    <r>
      <rPr>
        <sz val="10"/>
        <rFont val="Geneva"/>
        <family val="2"/>
      </rPr>
      <t>ijuv</t>
    </r>
  </si>
  <si>
    <r>
      <t xml:space="preserve">Überlebenswahrscheinlichkeit aller juvenilen Kanadagänse zwischen der </t>
    </r>
    <r>
      <rPr>
        <i/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>-ten und (</t>
    </r>
    <r>
      <rPr>
        <i/>
        <sz val="11"/>
        <color theme="1"/>
        <rFont val="Calibri"/>
        <family val="2"/>
        <scheme val="minor"/>
      </rPr>
      <t>i+</t>
    </r>
    <r>
      <rPr>
        <sz val="11"/>
        <color theme="1"/>
        <rFont val="Calibri"/>
        <family val="2"/>
        <scheme val="minor"/>
      </rPr>
      <t>1)-ten Erfassung</t>
    </r>
  </si>
  <si>
    <t>i</t>
  </si>
  <si>
    <t>nijuv</t>
  </si>
  <si>
    <t>Rijuv</t>
  </si>
  <si>
    <t>rijuv</t>
  </si>
  <si>
    <t>Mijuv (bias adjusted)</t>
  </si>
  <si>
    <t>zijuv</t>
  </si>
  <si>
    <t>Anmerkung</t>
  </si>
  <si>
    <t>Die Altersklassen werden unterschieden, in dem an den Parameter ad für adult bzw. juv für juvenil angehängt wird (wie bei der Überlebenswahrscheinlichkeit</t>
  </si>
  <si>
    <t>Analyse der Überlebensrate für junge Kanadagänse</t>
  </si>
  <si>
    <t>qi,juv</t>
  </si>
  <si>
    <t>Mortalität zwischen der i-ten und (i+1)-ten Erfassung</t>
  </si>
  <si>
    <t>Fangstatistiken für juvenile Kanadagänse</t>
  </si>
  <si>
    <r>
      <t>Var(</t>
    </r>
    <r>
      <rPr>
        <sz val="10"/>
        <rFont val="Symbol"/>
        <charset val="2"/>
      </rPr>
      <t>f</t>
    </r>
    <r>
      <rPr>
        <sz val="10"/>
        <rFont val="Geneva"/>
        <family val="2"/>
      </rPr>
      <t>ijuv)-Erfassung</t>
    </r>
  </si>
  <si>
    <r>
      <t>Var(</t>
    </r>
    <r>
      <rPr>
        <sz val="10"/>
        <rFont val="Symbol"/>
        <charset val="2"/>
      </rPr>
      <t>f</t>
    </r>
    <r>
      <rPr>
        <sz val="10"/>
        <rFont val="Geneva"/>
        <family val="2"/>
      </rPr>
      <t>ijuv)-Erfassung+Überlebensprozess</t>
    </r>
  </si>
  <si>
    <t>s.e. Erfassung+Überlebensprozess</t>
  </si>
  <si>
    <t>Fangstatistiken adulte weibliche Kanadagänse</t>
  </si>
  <si>
    <t>Analyse der Überlebensrate für adulte weibliche Kanadagänse</t>
  </si>
  <si>
    <r>
      <rPr>
        <sz val="12"/>
        <color theme="1"/>
        <rFont val="Symbol"/>
        <charset val="2"/>
      </rPr>
      <t>f</t>
    </r>
    <r>
      <rPr>
        <sz val="10"/>
        <rFont val="Geneva"/>
        <family val="2"/>
      </rPr>
      <t>i</t>
    </r>
    <r>
      <rPr>
        <sz val="12"/>
        <color theme="1"/>
        <rFont val="Calibri"/>
        <family val="2"/>
        <charset val="2"/>
      </rPr>
      <t>ad</t>
    </r>
  </si>
  <si>
    <r>
      <rPr>
        <sz val="12"/>
        <color theme="1"/>
        <rFont val="Symbol"/>
        <charset val="2"/>
      </rPr>
      <t>f</t>
    </r>
    <r>
      <rPr>
        <sz val="10"/>
        <rFont val="Geneva"/>
        <family val="2"/>
      </rPr>
      <t>i</t>
    </r>
    <r>
      <rPr>
        <sz val="12"/>
        <color theme="1"/>
        <rFont val="Calibri"/>
        <family val="2"/>
        <charset val="2"/>
      </rPr>
      <t>ad - bias adjusted</t>
    </r>
  </si>
  <si>
    <r>
      <t>Var (</t>
    </r>
    <r>
      <rPr>
        <sz val="10"/>
        <rFont val="Symbol"/>
        <charset val="2"/>
      </rPr>
      <t>f</t>
    </r>
    <r>
      <rPr>
        <sz val="10"/>
        <rFont val="Geneva"/>
        <family val="2"/>
      </rPr>
      <t>iad) -Erfassung + Überlebensprozess</t>
    </r>
  </si>
  <si>
    <r>
      <t>s.e. (</t>
    </r>
    <r>
      <rPr>
        <sz val="10"/>
        <rFont val="Symbol"/>
        <charset val="2"/>
      </rPr>
      <t>f</t>
    </r>
    <r>
      <rPr>
        <sz val="10"/>
        <rFont val="Geneva"/>
        <family val="2"/>
      </rPr>
      <t>iad) -Erfassung + Überlebensprozess</t>
    </r>
  </si>
  <si>
    <t>piad</t>
  </si>
  <si>
    <t>Var(piad)</t>
  </si>
  <si>
    <t>s.e. piad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</si>
</sst>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1" x14ac:knownFonts="1">
    <font>
      <sz val="10"/>
      <name val="Geneva"/>
    </font>
    <font>
      <sz val="10"/>
      <name val="Geneva"/>
      <family val="2"/>
    </font>
    <font>
      <b/>
      <sz val="10"/>
      <name val="Geneva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vertAlign val="subscript"/>
      <sz val="11"/>
      <color theme="1"/>
      <name val="Calibri"/>
      <family val="2"/>
      <scheme val="minor"/>
    </font>
    <font>
      <sz val="12"/>
      <color theme="1"/>
      <name val="Calibri"/>
      <family val="2"/>
      <charset val="2"/>
      <scheme val="minor"/>
    </font>
    <font>
      <sz val="12"/>
      <color theme="1"/>
      <name val="Symbol"/>
      <charset val="2"/>
    </font>
    <font>
      <sz val="12"/>
      <color theme="1"/>
      <name val="Calibri"/>
      <family val="2"/>
      <charset val="2"/>
    </font>
    <font>
      <sz val="10"/>
      <name val="Symbol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2" fontId="0" fillId="0" borderId="0" xfId="0" applyNumberFormat="1"/>
    <xf numFmtId="0" fontId="0" fillId="0" borderId="0" xfId="0" applyProtection="1">
      <protection locked="0"/>
    </xf>
    <xf numFmtId="164" fontId="0" fillId="0" borderId="0" xfId="0" applyNumberFormat="1" applyProtection="1">
      <protection locked="0"/>
    </xf>
    <xf numFmtId="2" fontId="0" fillId="0" borderId="0" xfId="0" applyNumberFormat="1" applyProtection="1">
      <protection locked="0"/>
    </xf>
    <xf numFmtId="164" fontId="0" fillId="0" borderId="0" xfId="0" applyNumberFormat="1"/>
    <xf numFmtId="165" fontId="0" fillId="0" borderId="0" xfId="0" applyNumberForma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 applyProtection="1">
      <protection locked="0"/>
    </xf>
    <xf numFmtId="0" fontId="9" fillId="0" borderId="0" xfId="0" applyFont="1" applyProtection="1">
      <protection locked="0"/>
    </xf>
    <xf numFmtId="0" fontId="1" fillId="0" borderId="0" xfId="0" applyFont="1" applyProtection="1">
      <protection locked="0"/>
    </xf>
  </cellXfs>
  <cellStyles count="1">
    <cellStyle name="Standard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9"/>
  <sheetViews>
    <sheetView tabSelected="1" workbookViewId="0">
      <selection activeCell="A57" sqref="A57"/>
    </sheetView>
  </sheetViews>
  <sheetFormatPr baseColWidth="10" defaultRowHeight="14" x14ac:dyDescent="0.2"/>
  <cols>
    <col min="1" max="1" width="31.7109375" customWidth="1"/>
  </cols>
  <sheetData>
    <row r="1" spans="1:2" x14ac:dyDescent="0.2">
      <c r="A1" s="8" t="s">
        <v>9</v>
      </c>
    </row>
    <row r="2" spans="1:2" ht="15" x14ac:dyDescent="0.2">
      <c r="A2" s="7" t="s">
        <v>10</v>
      </c>
      <c r="B2" s="9" t="s">
        <v>11</v>
      </c>
    </row>
    <row r="3" spans="1:2" ht="15" x14ac:dyDescent="0.2">
      <c r="B3" s="9" t="s">
        <v>12</v>
      </c>
    </row>
    <row r="5" spans="1:2" x14ac:dyDescent="0.2">
      <c r="A5" s="8" t="s">
        <v>13</v>
      </c>
    </row>
    <row r="6" spans="1:2" x14ac:dyDescent="0.2">
      <c r="A6" s="7" t="s">
        <v>14</v>
      </c>
      <c r="B6" t="s">
        <v>15</v>
      </c>
    </row>
    <row r="7" spans="1:2" x14ac:dyDescent="0.2">
      <c r="A7" t="s">
        <v>16</v>
      </c>
      <c r="B7" s="7" t="s">
        <v>17</v>
      </c>
    </row>
    <row r="8" spans="1:2" x14ac:dyDescent="0.2">
      <c r="A8" t="s">
        <v>18</v>
      </c>
      <c r="B8" s="7" t="s">
        <v>19</v>
      </c>
    </row>
    <row r="9" spans="1:2" ht="17" x14ac:dyDescent="0.25">
      <c r="A9" t="s">
        <v>0</v>
      </c>
      <c r="B9" s="10" t="s">
        <v>20</v>
      </c>
    </row>
    <row r="10" spans="1:2" ht="15" x14ac:dyDescent="0.2">
      <c r="A10" t="s">
        <v>21</v>
      </c>
      <c r="B10" s="10" t="s">
        <v>22</v>
      </c>
    </row>
    <row r="11" spans="1:2" ht="15" x14ac:dyDescent="0.2">
      <c r="A11" s="7" t="s">
        <v>23</v>
      </c>
      <c r="B11" s="10" t="s">
        <v>24</v>
      </c>
    </row>
    <row r="12" spans="1:2" ht="15" x14ac:dyDescent="0.2">
      <c r="A12" t="s">
        <v>25</v>
      </c>
      <c r="B12" s="10" t="s">
        <v>26</v>
      </c>
    </row>
    <row r="13" spans="1:2" ht="15" x14ac:dyDescent="0.2">
      <c r="A13" t="s">
        <v>27</v>
      </c>
      <c r="B13" s="10" t="s">
        <v>28</v>
      </c>
    </row>
    <row r="14" spans="1:2" ht="15" x14ac:dyDescent="0.2">
      <c r="A14" s="7" t="s">
        <v>29</v>
      </c>
      <c r="B14" s="10" t="s">
        <v>48</v>
      </c>
    </row>
    <row r="15" spans="1:2" ht="15" x14ac:dyDescent="0.2">
      <c r="A15" t="s">
        <v>30</v>
      </c>
      <c r="B15" s="10" t="s">
        <v>31</v>
      </c>
    </row>
    <row r="16" spans="1:2" ht="15" x14ac:dyDescent="0.2">
      <c r="A16" t="s">
        <v>32</v>
      </c>
      <c r="B16" s="11" t="s">
        <v>33</v>
      </c>
    </row>
    <row r="17" spans="1:13" ht="16" x14ac:dyDescent="0.2">
      <c r="A17" s="12" t="s">
        <v>34</v>
      </c>
      <c r="B17" s="10" t="s">
        <v>35</v>
      </c>
    </row>
    <row r="18" spans="1:13" ht="16" x14ac:dyDescent="0.2">
      <c r="A18" s="13" t="s">
        <v>36</v>
      </c>
      <c r="B18" s="10" t="s">
        <v>37</v>
      </c>
    </row>
    <row r="19" spans="1:13" ht="15" x14ac:dyDescent="0.2">
      <c r="A19" s="7" t="s">
        <v>44</v>
      </c>
      <c r="B19" s="10" t="s">
        <v>45</v>
      </c>
    </row>
    <row r="21" spans="1:13" x14ac:dyDescent="0.2">
      <c r="A21" s="8" t="s">
        <v>49</v>
      </c>
    </row>
    <row r="22" spans="1:13" x14ac:dyDescent="0.2">
      <c r="A22" s="7" t="s">
        <v>38</v>
      </c>
      <c r="B22">
        <v>1</v>
      </c>
      <c r="C22">
        <v>2</v>
      </c>
      <c r="D22">
        <v>3</v>
      </c>
    </row>
    <row r="23" spans="1:13" x14ac:dyDescent="0.2">
      <c r="A23" s="7" t="s">
        <v>39</v>
      </c>
      <c r="B23">
        <v>129</v>
      </c>
      <c r="C23">
        <v>190</v>
      </c>
      <c r="D23">
        <v>170</v>
      </c>
    </row>
    <row r="24" spans="1:13" x14ac:dyDescent="0.2">
      <c r="A24" s="7" t="s">
        <v>40</v>
      </c>
      <c r="B24">
        <v>129</v>
      </c>
      <c r="C24">
        <v>190</v>
      </c>
      <c r="D24">
        <v>170</v>
      </c>
    </row>
    <row r="25" spans="1:13" x14ac:dyDescent="0.2">
      <c r="A25" s="7" t="s">
        <v>41</v>
      </c>
      <c r="B25">
        <v>72</v>
      </c>
      <c r="C25">
        <v>89</v>
      </c>
      <c r="D25">
        <v>60</v>
      </c>
    </row>
    <row r="26" spans="1:13" x14ac:dyDescent="0.2">
      <c r="A26" s="14" t="s">
        <v>42</v>
      </c>
      <c r="B26" s="2">
        <v>0</v>
      </c>
      <c r="C26" s="3">
        <f>C28+C29*(C24+1)/(C25+1)</f>
        <v>0</v>
      </c>
      <c r="D26" s="3">
        <f>D28+D29*(D24+1)/(D25+1)</f>
        <v>0</v>
      </c>
      <c r="E26" s="3"/>
      <c r="F26" s="3"/>
      <c r="G26" s="3"/>
      <c r="H26" s="3"/>
      <c r="I26" s="3"/>
      <c r="J26" s="3"/>
      <c r="K26" s="3"/>
      <c r="L26" s="3"/>
      <c r="M26" s="3"/>
    </row>
    <row r="27" spans="1:13" x14ac:dyDescent="0.2">
      <c r="A27" s="7" t="s">
        <v>42</v>
      </c>
      <c r="B27">
        <v>0</v>
      </c>
      <c r="C27" s="5">
        <f>C28+C29*C24/C25</f>
        <v>0</v>
      </c>
      <c r="D27" s="5">
        <f>D28+D29*D24/D25</f>
        <v>0</v>
      </c>
      <c r="E27" s="5"/>
      <c r="F27" s="5"/>
      <c r="G27" s="5"/>
      <c r="H27" s="5"/>
      <c r="I27" s="5"/>
      <c r="J27" s="5"/>
      <c r="K27" s="5"/>
      <c r="L27" s="5"/>
      <c r="M27" s="5"/>
    </row>
    <row r="28" spans="1:13" x14ac:dyDescent="0.2">
      <c r="A28" s="7" t="s">
        <v>42</v>
      </c>
      <c r="B28">
        <v>0</v>
      </c>
      <c r="C28">
        <v>0</v>
      </c>
      <c r="D28">
        <v>0</v>
      </c>
      <c r="E28" s="2"/>
      <c r="F28" s="2"/>
      <c r="G28" s="2"/>
    </row>
    <row r="29" spans="1:13" x14ac:dyDescent="0.2">
      <c r="A29" s="7" t="s">
        <v>43</v>
      </c>
      <c r="B29">
        <v>0</v>
      </c>
      <c r="C29">
        <v>0</v>
      </c>
      <c r="D29">
        <v>0</v>
      </c>
      <c r="G29" s="2"/>
    </row>
    <row r="31" spans="1:13" x14ac:dyDescent="0.2">
      <c r="A31" s="8" t="s">
        <v>46</v>
      </c>
      <c r="H31" s="2"/>
    </row>
    <row r="32" spans="1:13" ht="16" x14ac:dyDescent="0.2">
      <c r="A32" s="13" t="s">
        <v>36</v>
      </c>
      <c r="B32" s="6">
        <f>(1-(B46+B42)/(C46+C45))*C43/(B26-B28+B24)</f>
        <v>0.57432089114715668</v>
      </c>
      <c r="C32" s="6">
        <f>(1-(C46+C42)/(D46+D45))*D43/(C26-C28+C24)</f>
        <v>0.50011549752161566</v>
      </c>
      <c r="D32" s="4" t="s">
        <v>8</v>
      </c>
    </row>
    <row r="33" spans="1:12" x14ac:dyDescent="0.2">
      <c r="A33" s="7" t="s">
        <v>47</v>
      </c>
      <c r="B33" s="1">
        <f>1-B32</f>
        <v>0.42567910885284332</v>
      </c>
      <c r="C33" s="1">
        <f>1-C32</f>
        <v>0.49988450247838434</v>
      </c>
      <c r="D33" s="4" t="s">
        <v>8</v>
      </c>
    </row>
    <row r="34" spans="1:12" x14ac:dyDescent="0.2">
      <c r="A34" s="7" t="s">
        <v>50</v>
      </c>
      <c r="B34" s="4">
        <f>B32^2*((C43-C45)*(C43-C45+C41)/C43^2*(1/C42-1/C41)+(B26-B28)/(B26-B28+B24)*(1/B25-1/B24))</f>
        <v>1.3607383837071504E-4</v>
      </c>
      <c r="C34" s="4">
        <f>C32*SQRT((D43-D45)*(D43-D45+D41)/D43^2*(1/D42-1/D41)+(C26-C28)/(C26-C28+C24)*(1/C25-1/C24))</f>
        <v>1.2948103709915452E-2</v>
      </c>
      <c r="D34" s="4" t="s">
        <v>8</v>
      </c>
    </row>
    <row r="35" spans="1:12" x14ac:dyDescent="0.2">
      <c r="A35" s="7" t="s">
        <v>51</v>
      </c>
      <c r="B35" s="4">
        <f>B32^2*((C43-C45)*(C43-C45+C41)/C43^2*(1/C42-1/C41)+(B26-B28)/(B26-B28+B24)*(1/B25-1/B24)+(1-B32/(1-(B46+B42)/(C46+C45)))/C43+(B46+B42)/(C46+C45)/(B25+B29))</f>
        <v>2.0822183731609386E-3</v>
      </c>
      <c r="C35" s="4">
        <f>C32^2*((D43-D45)*(D43-D45+D41)/D43^2*(1/D42-1/D41)+(C26-C28)/(C26-C28+C24)*(1/C25-1/C24)+(1-C32/(1-(C46+C42)/(D46+D45)))/D43+(C46+C42)/(D46+D45)/(C25+C29))</f>
        <v>1.5794136751389324E-3</v>
      </c>
      <c r="D35" s="4" t="s">
        <v>8</v>
      </c>
    </row>
    <row r="36" spans="1:12" x14ac:dyDescent="0.2">
      <c r="A36" s="7" t="s">
        <v>52</v>
      </c>
      <c r="B36" s="1">
        <f>B35^0.5</f>
        <v>4.5631331047438654E-2</v>
      </c>
      <c r="C36" s="1">
        <f>C35^0.5</f>
        <v>3.9741837842995287E-2</v>
      </c>
      <c r="I36" s="4"/>
      <c r="J36" s="4"/>
      <c r="K36" s="4"/>
    </row>
    <row r="37" spans="1:12" x14ac:dyDescent="0.2">
      <c r="A37" s="7"/>
      <c r="J37" s="4"/>
      <c r="K37" s="4"/>
      <c r="L37" s="4"/>
    </row>
    <row r="38" spans="1:12" x14ac:dyDescent="0.2">
      <c r="A38" s="7"/>
    </row>
    <row r="39" spans="1:12" x14ac:dyDescent="0.2">
      <c r="A39" s="8" t="s">
        <v>53</v>
      </c>
    </row>
    <row r="40" spans="1:12" x14ac:dyDescent="0.2">
      <c r="A40" t="s">
        <v>1</v>
      </c>
      <c r="B40">
        <v>67</v>
      </c>
      <c r="C40">
        <v>168</v>
      </c>
      <c r="D40">
        <v>229</v>
      </c>
    </row>
    <row r="41" spans="1:12" x14ac:dyDescent="0.2">
      <c r="A41" t="s">
        <v>2</v>
      </c>
      <c r="B41">
        <v>67</v>
      </c>
      <c r="C41">
        <v>168</v>
      </c>
      <c r="D41">
        <v>229</v>
      </c>
    </row>
    <row r="42" spans="1:12" x14ac:dyDescent="0.2">
      <c r="A42" t="s">
        <v>3</v>
      </c>
      <c r="B42">
        <v>47</v>
      </c>
      <c r="C42">
        <v>99</v>
      </c>
      <c r="D42">
        <v>118</v>
      </c>
    </row>
    <row r="43" spans="1:12" x14ac:dyDescent="0.2">
      <c r="A43" s="2" t="s">
        <v>4</v>
      </c>
      <c r="B43" s="2">
        <v>0</v>
      </c>
      <c r="C43" s="3">
        <f>C45+C46*(C41+1)/(C42+1)</f>
        <v>122.45</v>
      </c>
      <c r="D43" s="3">
        <f>D45+D46*(D41+1)/(D42+1)</f>
        <v>206.05882352941177</v>
      </c>
      <c r="E43" s="3"/>
    </row>
    <row r="44" spans="1:12" x14ac:dyDescent="0.2">
      <c r="A44" t="s">
        <v>5</v>
      </c>
      <c r="B44">
        <v>0</v>
      </c>
      <c r="C44" s="5">
        <f>C45+C46*C41/C42</f>
        <v>122.48484848484848</v>
      </c>
      <c r="D44" s="5">
        <f>D45+D46*D41/D42</f>
        <v>206.16949152542372</v>
      </c>
      <c r="E44" s="5"/>
    </row>
    <row r="45" spans="1:12" x14ac:dyDescent="0.2">
      <c r="A45" t="s">
        <v>6</v>
      </c>
      <c r="B45">
        <v>0</v>
      </c>
      <c r="C45" s="2">
        <v>114</v>
      </c>
      <c r="D45" s="2">
        <v>179</v>
      </c>
      <c r="E45" s="2"/>
    </row>
    <row r="46" spans="1:12" x14ac:dyDescent="0.2">
      <c r="A46" t="s">
        <v>7</v>
      </c>
      <c r="B46">
        <v>0</v>
      </c>
      <c r="C46">
        <v>5</v>
      </c>
      <c r="D46">
        <v>14</v>
      </c>
    </row>
    <row r="48" spans="1:12" x14ac:dyDescent="0.2">
      <c r="A48" s="8" t="s">
        <v>54</v>
      </c>
    </row>
    <row r="49" spans="1:20" ht="16" x14ac:dyDescent="0.2">
      <c r="A49" s="13" t="s">
        <v>55</v>
      </c>
      <c r="B49" s="4">
        <f>(B46+B42)/(C46+C45)*C44/(B44-B45+B41)</f>
        <v>0.72203535416880449</v>
      </c>
      <c r="C49" s="4">
        <f>(C46+C42)/(D46+D45)*D44/(C44-C45+C41)</f>
        <v>0.62949604185223751</v>
      </c>
      <c r="D49" s="4" t="s">
        <v>8</v>
      </c>
      <c r="E49" s="4"/>
      <c r="G49" s="2"/>
      <c r="K49" s="4"/>
    </row>
    <row r="50" spans="1:20" ht="16" x14ac:dyDescent="0.2">
      <c r="A50" s="13" t="s">
        <v>56</v>
      </c>
      <c r="B50" s="4">
        <f>(B46+B42)/(C46+C45)*C43/(B43-B45+B41)</f>
        <v>0.72182992600025075</v>
      </c>
      <c r="C50" s="4">
        <f>(C46+C42)/(D46+D45)*D43/(C43-C45+C41)</f>
        <v>0.62928239728141</v>
      </c>
      <c r="D50" s="4" t="s">
        <v>8</v>
      </c>
      <c r="E50" s="4"/>
      <c r="G50" s="2"/>
      <c r="K50" s="4"/>
    </row>
    <row r="51" spans="1:20" x14ac:dyDescent="0.2">
      <c r="A51" s="7" t="s">
        <v>57</v>
      </c>
      <c r="B51" s="4">
        <f>B50^2*((C43-C45)*(C43-C45+C41)/C43^2*(1/C42-1/C41)+(B43-B45)/(B43-B45+B41)*(1/B42-1/B41)+(1-B50/(B46+B42)*(C46+C45))/C43+(1-(B46+B42)/(C46+C45))/(B46+B42))</f>
        <v>3.4008175223276746E-3</v>
      </c>
      <c r="C51" s="4">
        <f>C50^2*((D43-D45)*(D43-D45+D41)/D43^2*(1/D42-1/D41)+(C43-C45)/(C43-C45+C41)*(1/C42-1/C41)+(1-C50/(C46+C42)*(D46+D45))/D43+(1-(C46+C42)/(D46+D45))/(C46+C42))</f>
        <v>1.7774968665224549E-3</v>
      </c>
      <c r="D51" s="4" t="s">
        <v>8</v>
      </c>
      <c r="E51" s="4"/>
    </row>
    <row r="52" spans="1:20" x14ac:dyDescent="0.2">
      <c r="A52" s="7" t="s">
        <v>58</v>
      </c>
      <c r="B52" s="1">
        <f>B51^0.5</f>
        <v>5.8316528723233133E-2</v>
      </c>
      <c r="C52" s="1">
        <f>C51^0.5</f>
        <v>4.2160370806273217E-2</v>
      </c>
      <c r="D52" s="4" t="s">
        <v>8</v>
      </c>
    </row>
    <row r="53" spans="1:20" x14ac:dyDescent="0.2">
      <c r="A53" s="7" t="s">
        <v>59</v>
      </c>
      <c r="B53" s="4">
        <f>C45/C43</f>
        <v>0.93099224173131889</v>
      </c>
      <c r="C53" s="4">
        <f>D45/D43</f>
        <v>0.86868398515558087</v>
      </c>
      <c r="D53" s="4" t="s">
        <v>8</v>
      </c>
    </row>
    <row r="54" spans="1:20" x14ac:dyDescent="0.2">
      <c r="A54" s="7" t="s">
        <v>60</v>
      </c>
      <c r="B54" s="4">
        <f>B53^2*(1-B53)^2*(1/C42-1/C41+1/C45+1/C46)</f>
        <v>8.7883138952188009E-4</v>
      </c>
      <c r="C54" s="4">
        <f>C53^2*(1-C53)^2*(1/D42-1/D41+1/D45+1/D46)</f>
        <v>1.0556079063604147E-3</v>
      </c>
      <c r="D54" s="4" t="s">
        <v>8</v>
      </c>
    </row>
    <row r="55" spans="1:20" x14ac:dyDescent="0.2">
      <c r="A55" s="7" t="s">
        <v>61</v>
      </c>
      <c r="B55" s="1">
        <f>B54^0.5</f>
        <v>2.9645090479232479E-2</v>
      </c>
      <c r="C55" s="1">
        <f>C54^0.5</f>
        <v>3.2490120134594992E-2</v>
      </c>
      <c r="D55" s="4" t="s">
        <v>8</v>
      </c>
      <c r="G55" s="4"/>
    </row>
    <row r="56" spans="1:20" x14ac:dyDescent="0.2">
      <c r="M56" s="4"/>
      <c r="T56" s="1"/>
    </row>
    <row r="57" spans="1:20" x14ac:dyDescent="0.2">
      <c r="M57" s="4"/>
    </row>
    <row r="58" spans="1:20" x14ac:dyDescent="0.2">
      <c r="M58" s="4"/>
    </row>
    <row r="63" spans="1:20" x14ac:dyDescent="0.2">
      <c r="B63" s="1"/>
      <c r="C63" s="1"/>
    </row>
    <row r="64" spans="1:20" x14ac:dyDescent="0.2">
      <c r="B64" s="1"/>
      <c r="C64" s="1"/>
      <c r="D64" s="1"/>
      <c r="E64" s="1"/>
      <c r="F64" s="1"/>
    </row>
    <row r="65" spans="2:7" x14ac:dyDescent="0.2">
      <c r="B65" s="1"/>
      <c r="C65" s="1"/>
      <c r="D65" s="1"/>
      <c r="E65" s="1"/>
      <c r="F65" s="1"/>
    </row>
    <row r="66" spans="2:7" x14ac:dyDescent="0.2">
      <c r="B66" s="1"/>
      <c r="C66" s="1"/>
      <c r="D66" s="1"/>
      <c r="E66" s="1"/>
      <c r="F66" s="1"/>
      <c r="G66" s="1"/>
    </row>
    <row r="67" spans="2:7" x14ac:dyDescent="0.2">
      <c r="D67" s="1"/>
      <c r="E67" s="1"/>
      <c r="F67" s="1"/>
      <c r="G67" s="1"/>
    </row>
    <row r="68" spans="2:7" x14ac:dyDescent="0.2">
      <c r="G68" s="1"/>
    </row>
    <row r="69" spans="2:7" x14ac:dyDescent="0.2">
      <c r="G69" s="1"/>
    </row>
  </sheetData>
  <printOptions headings="1" gridLines="1" gridLinesSet="0"/>
  <pageMargins left="0.78740157480314965" right="0.78740157480314965" top="0.98425196850393704" bottom="0.98425196850393704" header="0.5" footer="0.5"/>
  <pageSetup orientation="landscape" horizontalDpi="0" verticalDpi="0" copies="0"/>
  <headerFooter alignWithMargins="0">
    <oddHeader>&amp;F</oddHeader>
    <oddFooter>Seite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Kanada-Ageclass</vt:lpstr>
      <vt:lpstr>'Kanada-Ageclass'!Druckbereich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2024-09-11T21:39:51Z</dcterms:created>
  <dcterms:modified xsi:type="dcterms:W3CDTF">2025-10-26T20:39:28Z</dcterms:modified>
</cp:coreProperties>
</file>