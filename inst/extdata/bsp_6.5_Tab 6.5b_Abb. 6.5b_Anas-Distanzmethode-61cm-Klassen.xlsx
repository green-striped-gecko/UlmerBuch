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theme/themeOverride1.xml" ContentType="application/vnd.openxmlformats-officedocument.themeOverride+xml"/>
  <Override PartName="/xl/charts/chart3.xml" ContentType="application/vnd.openxmlformats-officedocument.drawingml.chart+xml"/>
  <Override PartName="/xl/theme/themeOverride2.xml" ContentType="application/vnd.openxmlformats-officedocument.themeOverrid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ate1904="1"/>
  <mc:AlternateContent xmlns:mc="http://schemas.openxmlformats.org/markup-compatibility/2006">
    <mc:Choice Requires="x15">
      <x15ac:absPath xmlns:x15ac="http://schemas.microsoft.com/office/spreadsheetml/2010/11/ac" url="/Users/Henle/Documents/Dateien/Publikationen/Methodenbuch/Ulmer Texte/Daten/ExcelOnline-Tabellen/"/>
    </mc:Choice>
  </mc:AlternateContent>
  <xr:revisionPtr revIDLastSave="0" documentId="13_ncr:1_{B1E244C6-90B0-E04E-B80C-C111B3EAEE60}" xr6:coauthVersionLast="47" xr6:coauthVersionMax="47" xr10:uidLastSave="{00000000-0000-0000-0000-000000000000}"/>
  <bookViews>
    <workbookView xWindow="2000" yWindow="1680" windowWidth="26140" windowHeight="14940" tabRatio="500" xr2:uid="{00000000-000D-0000-FFFF-FFFF00000000}"/>
  </bookViews>
  <sheets>
    <sheet name="Löffelente-Diad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3" i="1" l="1"/>
  <c r="B73" i="1"/>
  <c r="C71" i="1" l="1"/>
  <c r="B71" i="1"/>
  <c r="B63" i="1"/>
  <c r="E62" i="1"/>
  <c r="J62" i="1" s="1"/>
  <c r="E61" i="1"/>
  <c r="J61" i="1" s="1"/>
  <c r="E60" i="1"/>
  <c r="J60" i="1" s="1"/>
  <c r="E59" i="1"/>
  <c r="J59" i="1" s="1"/>
  <c r="E58" i="1"/>
  <c r="J58" i="1" s="1"/>
  <c r="D57" i="1"/>
  <c r="D58" i="1" l="1"/>
  <c r="F58" i="1"/>
  <c r="I58" i="1"/>
  <c r="D59" i="1" l="1"/>
  <c r="F59" i="1"/>
  <c r="I59" i="1"/>
  <c r="F60" i="1" l="1"/>
  <c r="D60" i="1"/>
  <c r="I60" i="1"/>
  <c r="I61" i="1" l="1"/>
  <c r="F61" i="1"/>
  <c r="D61" i="1"/>
  <c r="F62" i="1" l="1"/>
  <c r="D62" i="1"/>
  <c r="I62" i="1"/>
  <c r="D63" i="1" l="1"/>
  <c r="C63" i="1"/>
  <c r="C68" i="1" s="1"/>
  <c r="C72" i="1" l="1"/>
  <c r="B72" i="1"/>
  <c r="L59" i="1" l="1"/>
  <c r="L62" i="1"/>
  <c r="L58" i="1"/>
  <c r="L61" i="1"/>
  <c r="L60" i="1"/>
  <c r="C75" i="1"/>
  <c r="B75" i="1"/>
  <c r="G61" i="1" l="1"/>
  <c r="G59" i="1"/>
  <c r="G57" i="1"/>
  <c r="B76" i="1"/>
  <c r="B77" i="1" s="1"/>
  <c r="G62" i="1"/>
  <c r="G60" i="1"/>
  <c r="G58" i="1"/>
  <c r="C76" i="1"/>
  <c r="M60" i="1"/>
  <c r="M61" i="1"/>
  <c r="M58" i="1"/>
  <c r="M59" i="1"/>
  <c r="M57" i="1"/>
  <c r="M62" i="1"/>
  <c r="H60" i="1" l="1"/>
  <c r="K60" i="1"/>
  <c r="H62" i="1"/>
  <c r="K62" i="1"/>
  <c r="H57" i="1"/>
  <c r="K57" i="1"/>
  <c r="H59" i="1"/>
  <c r="K59" i="1"/>
  <c r="H58" i="1"/>
  <c r="K58" i="1"/>
  <c r="H61" i="1"/>
  <c r="K61" i="1"/>
  <c r="O60" i="1"/>
  <c r="N60" i="1"/>
  <c r="N59" i="1"/>
  <c r="O59" i="1"/>
  <c r="O58" i="1"/>
  <c r="N58" i="1"/>
  <c r="N62" i="1"/>
  <c r="O62" i="1"/>
  <c r="N61" i="1"/>
  <c r="O61" i="1"/>
  <c r="C77" i="1"/>
  <c r="N57" i="1"/>
  <c r="N63" i="1" s="1"/>
  <c r="O57" i="1"/>
  <c r="H63" i="1" l="1"/>
  <c r="K63" i="1"/>
  <c r="O63" i="1"/>
  <c r="B40" i="1" l="1"/>
  <c r="D30" i="1"/>
  <c r="D31" i="1"/>
  <c r="D32" i="1"/>
  <c r="D33" i="1"/>
  <c r="D34" i="1"/>
  <c r="D29" i="1"/>
  <c r="B35" i="1"/>
  <c r="C35" i="1"/>
  <c r="E34" i="1"/>
  <c r="E33" i="1"/>
  <c r="E32" i="1"/>
  <c r="E31" i="1"/>
  <c r="E30" i="1"/>
  <c r="D35" i="1" l="1"/>
  <c r="B41" i="1" s="1"/>
  <c r="B43" i="1" s="1"/>
  <c r="B44" i="1" s="1"/>
  <c r="B45" i="1" l="1"/>
  <c r="B46" i="1" s="1"/>
  <c r="F34" i="1"/>
  <c r="G34" i="1" s="1"/>
  <c r="H34" i="1" s="1"/>
  <c r="F32" i="1"/>
  <c r="G32" i="1" s="1"/>
  <c r="F31" i="1"/>
  <c r="G31" i="1" s="1"/>
  <c r="G29" i="1"/>
  <c r="F30" i="1"/>
  <c r="G30" i="1" s="1"/>
  <c r="F33" i="1"/>
  <c r="G33" i="1" s="1"/>
  <c r="B47" i="1" l="1"/>
  <c r="H31" i="1"/>
  <c r="H32" i="1"/>
  <c r="H29" i="1"/>
  <c r="H33" i="1"/>
  <c r="I33" i="1" s="1"/>
  <c r="H30" i="1"/>
  <c r="I30" i="1" s="1"/>
  <c r="H35" i="1" l="1"/>
  <c r="I29" i="1"/>
  <c r="I32" i="1"/>
  <c r="I31" i="1"/>
  <c r="I35" i="1" l="1"/>
</calcChain>
</file>

<file path=xl/sharedStrings.xml><?xml version="1.0" encoding="utf-8"?>
<sst xmlns="http://schemas.openxmlformats.org/spreadsheetml/2006/main" count="108" uniqueCount="75">
  <si>
    <t>Summen</t>
  </si>
  <si>
    <t>Fläche</t>
  </si>
  <si>
    <t>W</t>
  </si>
  <si>
    <t>k</t>
  </si>
  <si>
    <t>mean x</t>
  </si>
  <si>
    <t>Dichte / km2</t>
  </si>
  <si>
    <t>Alpha</t>
  </si>
  <si>
    <t>x-quer</t>
  </si>
  <si>
    <t>Definitionen</t>
  </si>
  <si>
    <t>ni</t>
  </si>
  <si>
    <t>xi</t>
  </si>
  <si>
    <t>Datenquelle</t>
  </si>
  <si>
    <t>Buckland, S.T., Anderson, D.R., Burnham, P., Laake, J.L. (1993): Distance Sampling: Estimating Abundance of Biological Populations. – Chapman &amp; Hall, London</t>
  </si>
  <si>
    <t>i</t>
  </si>
  <si>
    <t>Entfernungsintervall</t>
  </si>
  <si>
    <t>Anzahl beobachteter Nester</t>
  </si>
  <si>
    <t>E(ni)</t>
  </si>
  <si>
    <t>Erwartungswert für die Anzahl beobachteter Nester im Intervall i</t>
  </si>
  <si>
    <t>Empirische Beobachtungswahrscheinlichkeit für Nester in Abhängigkeit der Entfernung, mit Beobachtungswahrscheinlichkeit = 1 im Entfernungsintervall 1</t>
  </si>
  <si>
    <t>ga(x)</t>
  </si>
  <si>
    <t>Entfernung der Mitte des Entfernungsintervalls von der Transektlinie i</t>
  </si>
  <si>
    <t>Mittlere Entfernung  der Nester von der Transektlinie</t>
  </si>
  <si>
    <t>ni*x</t>
  </si>
  <si>
    <t>Transektlänge</t>
  </si>
  <si>
    <t>Intervallbreite</t>
  </si>
  <si>
    <t>Dichte/cm2</t>
  </si>
  <si>
    <t>Dichte/m2</t>
  </si>
  <si>
    <t>Dichte/km2</t>
  </si>
  <si>
    <t>E(ni) gerundet</t>
  </si>
  <si>
    <t>Chi-Quadrat-Test</t>
  </si>
  <si>
    <t>Teilwerte</t>
  </si>
  <si>
    <t>3 Freiheitsgrade</t>
  </si>
  <si>
    <t>Emp g(x)</t>
  </si>
  <si>
    <t>Parameter für die Kurvenform der Abnahme der Beobachtungswahrscheinlichkeit für eine Potenzfunktion</t>
  </si>
  <si>
    <t>Tab. 6.5b, Beispiel 6.5: Erfassung der Löffelentennestdichte mit Linien-Distanz Methoden und 61cm Intervallbreite</t>
  </si>
  <si>
    <t>Power-Funktion</t>
  </si>
  <si>
    <t>Chi-Quadrat</t>
  </si>
  <si>
    <t>Exponentielle Kurve</t>
  </si>
  <si>
    <t>Emp g(xi)</t>
  </si>
  <si>
    <t>ln(x)</t>
  </si>
  <si>
    <t>ln(1.g(x)</t>
  </si>
  <si>
    <t>E(ni)-exponentiell</t>
  </si>
  <si>
    <t>E(ni)-gerundet</t>
  </si>
  <si>
    <t>Lambda</t>
  </si>
  <si>
    <t>Wir berechnen hier zuerst die Dichte der Löffelentennester mit der Methode von Seber (1982), bei der wir den maximalen Abstand, in dem Nester beobachtet werden können,</t>
  </si>
  <si>
    <t>mit dem Abstand der a-priori festgelegten Distanz gleichsetzen, bis zu der Nester berücksichtigt wurden (366 cm).</t>
  </si>
  <si>
    <t>Da auf beiden Seiten der Transektlinie Beobachtungen gemacht wurden, muss die Breite der Entfernungsintervalle verdoppelt werden</t>
  </si>
  <si>
    <t>Aufgrund der kleinen Erwartungswerte wurden die letzten 2 Entfernungsintervalle zusammengefasst</t>
  </si>
  <si>
    <t>Obwohl die Grafik die Daten besser beschreibt als bei einer Intervallbreite von 30,5 cm, ist die Anpassung an die Daten ungenügend</t>
  </si>
  <si>
    <t>Aufgrund der niedrigen Erwartungswerte lässt sich kein Chi-Quadrat Test vornehmen</t>
  </si>
  <si>
    <t>Maximale Entfernung, in der Nester erfasst wurden (Seber-Methode) oder erfasst werden können (Caughley Methode)</t>
  </si>
  <si>
    <t>0,3 &lt; alpha &lt; 0,5</t>
  </si>
  <si>
    <t>0,2 &lt; alpha &lt; 0,3</t>
  </si>
  <si>
    <t xml:space="preserve">Bei der Methode von Caughley (1980) ist die geschätzte Dichte praktisch identisch mit der, die man erhält (6,7/ km^2), </t>
  </si>
  <si>
    <t>wenn man eine Totalerfasung im ersten Distanzintervall macht und die Annahme von Linien-Distanzmethoden zutrafen, dass hier die Beobachtungswahrscheinlichkeit 1 beträgt</t>
  </si>
  <si>
    <t xml:space="preserve">Anschließend führen wir die gleiche Berechnung mit der von Caughley (1980) empfohlenen Methode zur Bestimmung des Kurvenparameters k und der maximalen Distanz, in der Nester entdeckt werden können, durch. </t>
  </si>
  <si>
    <t xml:space="preserve">Bei beiden Berechnungen verwenden wir als Anpassungskurve an das Histogramm die Power-Funktion von Eberhardt (1968). </t>
  </si>
  <si>
    <t>Bei der Methode von Caughley (1980) prüfen wir zusätzlich, ob die exponentielle Abnahme der Beobachtungswahrscheinlichkeit besser zu den Daten passt als die Verwendung einer Power-Funktion.</t>
  </si>
  <si>
    <t>Beobachtungswahrscheinlichkeit berechnet mit einer Anpassungskurve an das Histogramm</t>
  </si>
  <si>
    <t>Analyse mit der Methode von Seber (1982)</t>
  </si>
  <si>
    <t>Analyse mit der Methode von Caughley (1980)</t>
  </si>
  <si>
    <t>Gleichzeitig testen wir die Passfähigkeit einer Exponentialkurve.</t>
  </si>
  <si>
    <t>Als nächste führen wir die gleiche Analyse durch, berechnen jedoch den Kurvenparameter k und die maximale Distanz, in der Nester beobachtet werden können, nach der Methode von Caughley (1980).</t>
  </si>
  <si>
    <t>Werte der Diagrammachsen</t>
  </si>
  <si>
    <t>k und W werden aus den Parametern der Regressionsgleichung ermittelt - siehe Blatt Regressionsanalyse</t>
  </si>
  <si>
    <t xml:space="preserve">Es zeigt sich, dass mit der Power-Funktion sowohl bei der Verwendung der Methode von Seber (1982) zur Festlegung von W </t>
  </si>
  <si>
    <t>Aufgrund der geringen Entfernung im ersten Distanzintervall von 61 cm ist diese Annahme auch sehr wahrscheinlich eingehalten.</t>
  </si>
  <si>
    <t>Literatur</t>
  </si>
  <si>
    <t>Caughley, G. (1980): Analysis of Vertebrate Populations. – John Wiley, Chichester, New York &amp; Brisbane</t>
  </si>
  <si>
    <r>
      <t>Seber, G.A.F. (1982): The Estimation of Animal Abundance and Related Parameters, 2</t>
    </r>
    <r>
      <rPr>
        <vertAlign val="superscript"/>
        <sz val="12"/>
        <rFont val="Times New Roman"/>
        <family val="1"/>
      </rPr>
      <t>nd</t>
    </r>
    <r>
      <rPr>
        <sz val="12"/>
        <rFont val="Times New Roman"/>
        <family val="1"/>
      </rPr>
      <t xml:space="preserve"> ed. – Griffin, London</t>
    </r>
  </si>
  <si>
    <t>Exponentialfunktion</t>
  </si>
  <si>
    <t xml:space="preserve">als auch der von Caughley (1980) zur Berechnung der Parameter W und k eine begrenzte, jedoch deutlich schlechtere Anpassung </t>
  </si>
  <si>
    <t>als bei einer Intervallbreite von 30,5 cm an die Beobachtungsdaten erzielt wurde.</t>
  </si>
  <si>
    <t>Die exponentielle Abnahme der Beobachtungswahrscheinlichkeit mit der Entfernung passt dagegen schlecht zu den Daten.</t>
  </si>
  <si>
    <t>Die Berechnung der Erwartunsgwerte für die Anzahl im ersten Intervall gefundener Nester erfolgte unter der Annahme einer Nachweiswahrscheinlichkeit von 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</si>
</sst>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9" x14ac:knownFonts="1">
    <font>
      <sz val="10"/>
      <name val="Geneva"/>
    </font>
    <font>
      <sz val="10"/>
      <name val="Geneva"/>
      <family val="2"/>
    </font>
    <font>
      <sz val="11"/>
      <name val="Arial"/>
      <family val="2"/>
    </font>
    <font>
      <sz val="10"/>
      <name val="Geneva"/>
      <family val="2"/>
    </font>
    <font>
      <sz val="10"/>
      <color rgb="FFFF0000"/>
      <name val="Geneva"/>
      <family val="2"/>
    </font>
    <font>
      <sz val="11"/>
      <color rgb="FFFF0000"/>
      <name val="Arial"/>
      <family val="2"/>
    </font>
    <font>
      <b/>
      <sz val="10"/>
      <name val="Geneva"/>
      <family val="2"/>
    </font>
    <font>
      <sz val="12"/>
      <name val="Times New Roman"/>
      <family val="1"/>
    </font>
    <font>
      <vertAlign val="superscript"/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64" fontId="0" fillId="0" borderId="0" xfId="0" applyNumberFormat="1"/>
    <xf numFmtId="0" fontId="2" fillId="0" borderId="0" xfId="0" applyFont="1" applyAlignment="1">
      <alignment vertical="center" wrapText="1"/>
    </xf>
    <xf numFmtId="0" fontId="3" fillId="0" borderId="0" xfId="0" applyFont="1"/>
    <xf numFmtId="2" fontId="0" fillId="0" borderId="0" xfId="0" applyNumberFormat="1"/>
    <xf numFmtId="0" fontId="1" fillId="0" borderId="0" xfId="0" applyFont="1"/>
    <xf numFmtId="0" fontId="4" fillId="0" borderId="0" xfId="0" applyFont="1"/>
    <xf numFmtId="0" fontId="5" fillId="0" borderId="0" xfId="0" applyFont="1" applyAlignment="1">
      <alignment vertical="center" wrapText="1"/>
    </xf>
    <xf numFmtId="0" fontId="6" fillId="0" borderId="0" xfId="0" applyFont="1"/>
    <xf numFmtId="0" fontId="7" fillId="0" borderId="0" xfId="0" applyFont="1"/>
    <xf numFmtId="0" fontId="0" fillId="0" borderId="0" xfId="0" applyAlignment="1">
      <alignment horizontal="center"/>
    </xf>
    <xf numFmtId="1" fontId="0" fillId="0" borderId="0" xfId="0" applyNumberFormat="1"/>
    <xf numFmtId="0" fontId="2" fillId="0" borderId="0" xfId="0" applyFont="1" applyAlignment="1">
      <alignment horizontal="center" vertical="center" wrapText="1"/>
    </xf>
    <xf numFmtId="164" fontId="1" fillId="0" borderId="0" xfId="0" applyNumberFormat="1" applyFont="1"/>
  </cellXfs>
  <cellStyles count="1">
    <cellStyle name="Standard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 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18137992125984251"/>
                  <c:y val="0.1199766695829687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Geneva" panose="020B0503030404040204" pitchFamily="34" charset="0"/>
                      <a:ea typeface="Geneva" panose="020B0503030404040204" pitchFamily="34" charset="0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'Löffelente-Diadat'!$I$58:$I$62</c:f>
              <c:numCache>
                <c:formatCode>General</c:formatCode>
                <c:ptCount val="5"/>
                <c:pt idx="0">
                  <c:v>4.516338972281476</c:v>
                </c:pt>
                <c:pt idx="1">
                  <c:v>5.0271645960474665</c:v>
                </c:pt>
                <c:pt idx="2">
                  <c:v>5.3636368326686794</c:v>
                </c:pt>
                <c:pt idx="3">
                  <c:v>5.6149512609495851</c:v>
                </c:pt>
                <c:pt idx="4">
                  <c:v>5.8156219564117366</c:v>
                </c:pt>
              </c:numCache>
            </c:numRef>
          </c:xVal>
          <c:yVal>
            <c:numRef>
              <c:f>'Löffelente-Diadat'!$J$58:$J$62</c:f>
              <c:numCache>
                <c:formatCode>General</c:formatCode>
                <c:ptCount val="5"/>
                <c:pt idx="0">
                  <c:v>-1.3862943611198906</c:v>
                </c:pt>
                <c:pt idx="1">
                  <c:v>-0.5753641449035618</c:v>
                </c:pt>
                <c:pt idx="2">
                  <c:v>-0.2876820724517809</c:v>
                </c:pt>
                <c:pt idx="3">
                  <c:v>-0.47000362924573558</c:v>
                </c:pt>
                <c:pt idx="4">
                  <c:v>-0.20763936477824449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CBC-144C-AC12-9B16E93943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5537647"/>
        <c:axId val="1214423951"/>
      </c:scatterChart>
      <c:valAx>
        <c:axId val="3755376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sz="1200" b="1">
                    <a:latin typeface="Geneva" panose="020B0503030404040204" pitchFamily="34" charset="0"/>
                    <a:ea typeface="Geneva" panose="020B0503030404040204" pitchFamily="34" charset="0"/>
                  </a:rPr>
                  <a:t>ln(x)</a:t>
                </a:r>
              </a:p>
            </c:rich>
          </c:tx>
          <c:layout>
            <c:manualLayout>
              <c:xMode val="edge"/>
              <c:yMode val="edge"/>
              <c:x val="0.43099656752370513"/>
              <c:y val="5.0925925925925923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214423951"/>
        <c:crosses val="autoZero"/>
        <c:crossBetween val="midCat"/>
      </c:valAx>
      <c:valAx>
        <c:axId val="121442395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sz="1200" b="1">
                    <a:latin typeface="Geneva" panose="020B0503030404040204" pitchFamily="34" charset="0"/>
                    <a:ea typeface="Geneva" panose="020B0503030404040204" pitchFamily="34" charset="0"/>
                  </a:rPr>
                  <a:t>ln(1-g(x)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3755376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9.7172394354585481E-2"/>
          <c:y val="4.557187108368211E-2"/>
          <c:w val="0.90146636020018633"/>
          <c:h val="0.7489597074791714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'Löffelente-Diadat'!$E$28</c:f>
              <c:strCache>
                <c:ptCount val="1"/>
                <c:pt idx="0">
                  <c:v>Emp g(xi)</c:v>
                </c:pt>
              </c:strCache>
            </c:strRef>
          </c:tx>
          <c:spPr>
            <a:solidFill>
              <a:srgbClr val="1FB714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'Löffelente-Diadat'!$C$29:$C$34</c:f>
              <c:numCache>
                <c:formatCode>General</c:formatCode>
                <c:ptCount val="6"/>
                <c:pt idx="0">
                  <c:v>30.5</c:v>
                </c:pt>
                <c:pt idx="1">
                  <c:v>91.5</c:v>
                </c:pt>
                <c:pt idx="2">
                  <c:v>152.5</c:v>
                </c:pt>
                <c:pt idx="3">
                  <c:v>213.5</c:v>
                </c:pt>
                <c:pt idx="4">
                  <c:v>274.5</c:v>
                </c:pt>
                <c:pt idx="5">
                  <c:v>335.5</c:v>
                </c:pt>
              </c:numCache>
            </c:numRef>
          </c:cat>
          <c:val>
            <c:numRef>
              <c:f>'Löffelente-Diadat'!$E$29:$E$34</c:f>
              <c:numCache>
                <c:formatCode>0.00</c:formatCode>
                <c:ptCount val="6"/>
                <c:pt idx="0">
                  <c:v>1</c:v>
                </c:pt>
                <c:pt idx="1">
                  <c:v>0.75</c:v>
                </c:pt>
                <c:pt idx="2">
                  <c:v>0.4375</c:v>
                </c:pt>
                <c:pt idx="3">
                  <c:v>0.25</c:v>
                </c:pt>
                <c:pt idx="4">
                  <c:v>0.375</c:v>
                </c:pt>
                <c:pt idx="5">
                  <c:v>0.1875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C9-4927-976D-1ED0CCAB1C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"/>
        <c:axId val="359234408"/>
        <c:axId val="1"/>
      </c:barChart>
      <c:lineChart>
        <c:grouping val="standard"/>
        <c:varyColors val="0"/>
        <c:ser>
          <c:idx val="0"/>
          <c:order val="1"/>
          <c:tx>
            <c:strRef>
              <c:f>'Löffelente-Diadat'!$F$28</c:f>
              <c:strCache>
                <c:ptCount val="1"/>
                <c:pt idx="0">
                  <c:v>ga(x)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val>
            <c:numRef>
              <c:f>'Löffelente-Diadat'!$F$29:$F$34</c:f>
              <c:numCache>
                <c:formatCode>0.00</c:formatCode>
                <c:ptCount val="6"/>
                <c:pt idx="0">
                  <c:v>1</c:v>
                </c:pt>
                <c:pt idx="1">
                  <c:v>0.8458586772715424</c:v>
                </c:pt>
                <c:pt idx="2">
                  <c:v>0.69298688379840101</c:v>
                </c:pt>
                <c:pt idx="3">
                  <c:v>0.51665207153721981</c:v>
                </c:pt>
                <c:pt idx="4">
                  <c:v>0.32161227164823225</c:v>
                </c:pt>
                <c:pt idx="5">
                  <c:v>0.11073871958115911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5C9-4927-976D-1ED0CCAB1C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"/>
        <c:axId val="4"/>
      </c:lineChart>
      <c:catAx>
        <c:axId val="3592344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Geneva"/>
                    <a:ea typeface="Geneva"/>
                    <a:cs typeface="Geneva"/>
                  </a:defRPr>
                </a:pPr>
                <a:r>
                  <a:rPr lang="de-DE"/>
                  <a:t>Entfernung von Transektlinie [cm]</a:t>
                </a:r>
              </a:p>
            </c:rich>
          </c:tx>
          <c:layout>
            <c:manualLayout>
              <c:xMode val="edge"/>
              <c:yMode val="edge"/>
              <c:x val="0.34535028481628466"/>
              <c:y val="0.8894159502741058"/>
            </c:manualLayout>
          </c:layout>
          <c:overlay val="0"/>
        </c:title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endParaRPr lang="de-DE"/>
          </a:p>
        </c:txPr>
        <c:crossAx val="1"/>
        <c:crosses val="autoZero"/>
        <c:auto val="0"/>
        <c:lblAlgn val="ctr"/>
        <c:lblOffset val="150"/>
        <c:tickLblSkip val="1"/>
        <c:tickMarkSkip val="1"/>
        <c:noMultiLvlLbl val="0"/>
      </c:catAx>
      <c:valAx>
        <c:axId val="1"/>
        <c:scaling>
          <c:orientation val="minMax"/>
          <c:max val="1"/>
        </c:scaling>
        <c:delete val="0"/>
        <c:axPos val="l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Geneva"/>
                    <a:ea typeface="Geneva"/>
                    <a:cs typeface="Geneva"/>
                  </a:defRPr>
                </a:pPr>
                <a:r>
                  <a:rPr lang="de-DE"/>
                  <a:t>Beobachtungswahrscheinlichekeit</a:t>
                </a:r>
              </a:p>
            </c:rich>
          </c:tx>
          <c:layout>
            <c:manualLayout>
              <c:xMode val="edge"/>
              <c:yMode val="edge"/>
              <c:x val="5.9556997652785125E-3"/>
              <c:y val="4.5571819503943622E-2"/>
            </c:manualLayout>
          </c:layout>
          <c:overlay val="0"/>
        </c:title>
        <c:numFmt formatCode="0.00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endParaRPr lang="de-DE"/>
          </a:p>
        </c:txPr>
        <c:crossAx val="359234408"/>
        <c:crosses val="autoZero"/>
        <c:crossBetween val="between"/>
        <c:majorUnit val="0.2"/>
      </c:valAx>
      <c:catAx>
        <c:axId val="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"/>
        <c:crosses val="autoZero"/>
        <c:auto val="0"/>
        <c:lblAlgn val="ctr"/>
        <c:lblOffset val="100"/>
        <c:noMultiLvlLbl val="0"/>
      </c:catAx>
      <c:valAx>
        <c:axId val="4"/>
        <c:scaling>
          <c:orientation val="minMax"/>
        </c:scaling>
        <c:delete val="1"/>
        <c:axPos val="l"/>
        <c:numFmt formatCode="0.00" sourceLinked="1"/>
        <c:majorTickMark val="out"/>
        <c:minorTickMark val="none"/>
        <c:tickLblPos val="nextTo"/>
        <c:crossAx val="3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58937473048727895"/>
          <c:y val="8.1684715336508881E-2"/>
          <c:w val="0.34558922696111888"/>
          <c:h val="0.11961815884125594"/>
        </c:manualLayout>
      </c:layout>
      <c:overlay val="0"/>
      <c:txPr>
        <a:bodyPr/>
        <a:lstStyle/>
        <a:p>
          <a:pPr>
            <a:defRPr sz="1100"/>
          </a:pPr>
          <a:endParaRPr lang="de-DE"/>
        </a:p>
      </c:txPr>
    </c:legend>
    <c:plotVisOnly val="0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Geneva"/>
          <a:ea typeface="Geneva"/>
          <a:cs typeface="Geneva"/>
        </a:defRPr>
      </a:pPr>
      <a:endParaRPr lang="de-DE"/>
    </a:p>
  </c:txPr>
  <c:printSettings>
    <c:headerFooter alignWithMargins="0">
      <c:oddHeader>&amp;F</c:oddHeader>
      <c:oddFooter>Seite &amp;P</c:oddFooter>
    </c:headerFooter>
    <c:pageMargins b="0.984251969" l="0.78740157499999996" r="0.78740157499999996" t="0.984251969" header="0.5" footer="0.5"/>
    <c:pageSetup paperSize="0" orientation="portrait" horizontalDpi="0" verticalDpi="0" copies="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8.0175291881618246E-2"/>
          <c:y val="4.557187108368211E-2"/>
          <c:w val="0.91846351540866222"/>
          <c:h val="0.7489597074791714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'Löffelente-Diadat'!$E$56</c:f>
              <c:strCache>
                <c:ptCount val="1"/>
                <c:pt idx="0">
                  <c:v>Emp g(xi)</c:v>
                </c:pt>
              </c:strCache>
            </c:strRef>
          </c:tx>
          <c:spPr>
            <a:solidFill>
              <a:srgbClr val="1FB714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'Löffelente-Diadat'!$C$57:$C$62</c:f>
              <c:numCache>
                <c:formatCode>General</c:formatCode>
                <c:ptCount val="6"/>
                <c:pt idx="0">
                  <c:v>30.5</c:v>
                </c:pt>
                <c:pt idx="1">
                  <c:v>91.5</c:v>
                </c:pt>
                <c:pt idx="2">
                  <c:v>152.5</c:v>
                </c:pt>
                <c:pt idx="3">
                  <c:v>213.5</c:v>
                </c:pt>
                <c:pt idx="4">
                  <c:v>274.5</c:v>
                </c:pt>
                <c:pt idx="5">
                  <c:v>335.5</c:v>
                </c:pt>
              </c:numCache>
            </c:numRef>
          </c:cat>
          <c:val>
            <c:numRef>
              <c:f>'Löffelente-Diadat'!$E$57:$E$62</c:f>
              <c:numCache>
                <c:formatCode>0.00</c:formatCode>
                <c:ptCount val="6"/>
                <c:pt idx="0">
                  <c:v>1</c:v>
                </c:pt>
                <c:pt idx="1">
                  <c:v>0.75</c:v>
                </c:pt>
                <c:pt idx="2">
                  <c:v>0.4375</c:v>
                </c:pt>
                <c:pt idx="3">
                  <c:v>0.25</c:v>
                </c:pt>
                <c:pt idx="4">
                  <c:v>0.375</c:v>
                </c:pt>
                <c:pt idx="5">
                  <c:v>0.1875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C9-4927-976D-1ED0CCAB1C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"/>
        <c:axId val="359234408"/>
        <c:axId val="1"/>
      </c:barChart>
      <c:lineChart>
        <c:grouping val="standard"/>
        <c:varyColors val="0"/>
        <c:ser>
          <c:idx val="0"/>
          <c:order val="1"/>
          <c:tx>
            <c:strRef>
              <c:f>'Löffelente-Diadat'!$F$56</c:f>
              <c:strCache>
                <c:ptCount val="1"/>
                <c:pt idx="0">
                  <c:v>ga(x)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val>
            <c:numRef>
              <c:f>'Löffelente-Diadat'!$F$57:$F$62</c:f>
              <c:numCache>
                <c:formatCode>0.00</c:formatCode>
                <c:ptCount val="6"/>
                <c:pt idx="0">
                  <c:v>1</c:v>
                </c:pt>
                <c:pt idx="1">
                  <c:v>0.70177760487396967</c:v>
                </c:pt>
                <c:pt idx="2">
                  <c:v>0.54397851522642426</c:v>
                </c:pt>
                <c:pt idx="3">
                  <c:v>0.39677941546739925</c:v>
                </c:pt>
                <c:pt idx="4">
                  <c:v>0.25660631926530697</c:v>
                </c:pt>
                <c:pt idx="5">
                  <c:v>0.12163399097370009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5C9-4927-976D-1ED0CCAB1C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"/>
        <c:axId val="4"/>
      </c:lineChart>
      <c:catAx>
        <c:axId val="3592344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Geneva"/>
                    <a:ea typeface="Geneva"/>
                    <a:cs typeface="Geneva"/>
                  </a:defRPr>
                </a:pPr>
                <a:r>
                  <a:rPr lang="de-DE"/>
                  <a:t>Entfernung von Transektlinie [cm]</a:t>
                </a:r>
              </a:p>
            </c:rich>
          </c:tx>
          <c:layout>
            <c:manualLayout>
              <c:xMode val="edge"/>
              <c:yMode val="edge"/>
              <c:x val="0.31967224523427751"/>
              <c:y val="0.89076348835511432"/>
            </c:manualLayout>
          </c:layout>
          <c:overlay val="0"/>
        </c:title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endParaRPr lang="de-DE"/>
          </a:p>
        </c:txPr>
        <c:crossAx val="1"/>
        <c:crosses val="autoZero"/>
        <c:auto val="0"/>
        <c:lblAlgn val="ctr"/>
        <c:lblOffset val="150"/>
        <c:tickLblSkip val="1"/>
        <c:tickMarkSkip val="1"/>
        <c:noMultiLvlLbl val="0"/>
      </c:catAx>
      <c:valAx>
        <c:axId val="1"/>
        <c:scaling>
          <c:orientation val="minMax"/>
          <c:max val="1"/>
        </c:scaling>
        <c:delete val="0"/>
        <c:axPos val="l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Geneva"/>
                    <a:ea typeface="Geneva"/>
                    <a:cs typeface="Geneva"/>
                  </a:defRPr>
                </a:pPr>
                <a:r>
                  <a:rPr lang="de-DE"/>
                  <a:t>Beobachtungswahrscheinlichkeit</a:t>
                </a:r>
              </a:p>
            </c:rich>
          </c:tx>
          <c:overlay val="0"/>
        </c:title>
        <c:numFmt formatCode="0.00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endParaRPr lang="de-DE"/>
          </a:p>
        </c:txPr>
        <c:crossAx val="359234408"/>
        <c:crosses val="autoZero"/>
        <c:crossBetween val="between"/>
        <c:majorUnit val="0.2"/>
      </c:valAx>
      <c:catAx>
        <c:axId val="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"/>
        <c:crosses val="autoZero"/>
        <c:auto val="0"/>
        <c:lblAlgn val="ctr"/>
        <c:lblOffset val="100"/>
        <c:noMultiLvlLbl val="0"/>
      </c:catAx>
      <c:valAx>
        <c:axId val="4"/>
        <c:scaling>
          <c:orientation val="minMax"/>
        </c:scaling>
        <c:delete val="1"/>
        <c:axPos val="l"/>
        <c:numFmt formatCode="0.00" sourceLinked="1"/>
        <c:majorTickMark val="out"/>
        <c:minorTickMark val="none"/>
        <c:tickLblPos val="nextTo"/>
        <c:crossAx val="3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58937473048727895"/>
          <c:y val="8.1684715336508881E-2"/>
          <c:w val="0.34558922696111888"/>
          <c:h val="0.11961815884125594"/>
        </c:manualLayout>
      </c:layout>
      <c:overlay val="0"/>
      <c:txPr>
        <a:bodyPr/>
        <a:lstStyle/>
        <a:p>
          <a:pPr>
            <a:defRPr sz="1100"/>
          </a:pPr>
          <a:endParaRPr lang="de-DE"/>
        </a:p>
      </c:txPr>
    </c:legend>
    <c:plotVisOnly val="0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Geneva"/>
          <a:ea typeface="Geneva"/>
          <a:cs typeface="Geneva"/>
        </a:defRPr>
      </a:pPr>
      <a:endParaRPr lang="de-DE"/>
    </a:p>
  </c:txPr>
  <c:printSettings>
    <c:headerFooter alignWithMargins="0">
      <c:oddHeader>&amp;F</c:oddHeader>
      <c:oddFooter>Seite &amp;P</c:oddFooter>
    </c:headerFooter>
    <c:pageMargins b="0.984251969" l="0.78740157499999996" r="0.78740157499999996" t="0.984251969" header="0.5" footer="0.5"/>
    <c:pageSetup paperSize="0" orientation="portrait" horizontalDpi="0" verticalDpi="0" copies="0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786375</xdr:colOff>
      <xdr:row>65</xdr:row>
      <xdr:rowOff>84410</xdr:rowOff>
    </xdr:from>
    <xdr:to>
      <xdr:col>10</xdr:col>
      <xdr:colOff>906960</xdr:colOff>
      <xdr:row>80</xdr:row>
      <xdr:rowOff>133670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F4210A49-3163-76DC-FE70-66C17AFBE7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379076</xdr:colOff>
      <xdr:row>26</xdr:row>
      <xdr:rowOff>0</xdr:rowOff>
    </xdr:from>
    <xdr:to>
      <xdr:col>25</xdr:col>
      <xdr:colOff>250152</xdr:colOff>
      <xdr:row>43</xdr:row>
      <xdr:rowOff>96212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46997BC-DE7A-436F-85EB-B7FA24B0D0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643659</xdr:colOff>
      <xdr:row>69</xdr:row>
      <xdr:rowOff>171001</xdr:rowOff>
    </xdr:from>
    <xdr:to>
      <xdr:col>24</xdr:col>
      <xdr:colOff>904394</xdr:colOff>
      <xdr:row>97</xdr:row>
      <xdr:rowOff>137904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BCC4743-6F7A-42EB-99AE-A164D4C607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5"/>
  <sheetViews>
    <sheetView tabSelected="1" topLeftCell="A60" zoomScale="99" workbookViewId="0">
      <selection activeCell="P63" sqref="P63"/>
    </sheetView>
  </sheetViews>
  <sheetFormatPr baseColWidth="10" defaultColWidth="11.42578125" defaultRowHeight="14" x14ac:dyDescent="0.2"/>
  <cols>
    <col min="2" max="2" width="14.140625" customWidth="1"/>
    <col min="3" max="3" width="12.85546875" customWidth="1"/>
    <col min="4" max="4" width="10.7109375" customWidth="1"/>
    <col min="5" max="5" width="27.28515625" customWidth="1"/>
    <col min="8" max="8" width="16.42578125" customWidth="1"/>
    <col min="9" max="9" width="16.5703125" customWidth="1"/>
    <col min="11" max="11" width="14.85546875" customWidth="1"/>
    <col min="12" max="12" width="15.7109375" customWidth="1"/>
  </cols>
  <sheetData>
    <row r="1" spans="1:2" x14ac:dyDescent="0.2">
      <c r="A1" s="8" t="s">
        <v>34</v>
      </c>
    </row>
    <row r="2" spans="1:2" ht="16" x14ac:dyDescent="0.2">
      <c r="A2" s="8" t="s">
        <v>11</v>
      </c>
      <c r="B2" s="9" t="s">
        <v>12</v>
      </c>
    </row>
    <row r="4" spans="1:2" x14ac:dyDescent="0.2">
      <c r="A4" s="5" t="s">
        <v>44</v>
      </c>
    </row>
    <row r="5" spans="1:2" x14ac:dyDescent="0.2">
      <c r="A5" s="5" t="s">
        <v>45</v>
      </c>
    </row>
    <row r="6" spans="1:2" x14ac:dyDescent="0.2">
      <c r="A6" s="5" t="s">
        <v>55</v>
      </c>
    </row>
    <row r="8" spans="1:2" x14ac:dyDescent="0.2">
      <c r="A8" s="5" t="s">
        <v>56</v>
      </c>
    </row>
    <row r="9" spans="1:2" x14ac:dyDescent="0.2">
      <c r="A9" s="5" t="s">
        <v>57</v>
      </c>
    </row>
    <row r="10" spans="1:2" x14ac:dyDescent="0.2">
      <c r="A10" s="5" t="s">
        <v>74</v>
      </c>
    </row>
    <row r="13" spans="1:2" x14ac:dyDescent="0.2">
      <c r="A13" s="8" t="s">
        <v>8</v>
      </c>
    </row>
    <row r="14" spans="1:2" x14ac:dyDescent="0.2">
      <c r="A14" s="5" t="s">
        <v>13</v>
      </c>
      <c r="B14" s="5" t="s">
        <v>14</v>
      </c>
    </row>
    <row r="15" spans="1:2" x14ac:dyDescent="0.2">
      <c r="A15" s="5" t="s">
        <v>9</v>
      </c>
      <c r="B15" s="5" t="s">
        <v>15</v>
      </c>
    </row>
    <row r="16" spans="1:2" x14ac:dyDescent="0.2">
      <c r="A16" s="5" t="s">
        <v>16</v>
      </c>
      <c r="B16" s="5" t="s">
        <v>17</v>
      </c>
    </row>
    <row r="17" spans="1:11" x14ac:dyDescent="0.2">
      <c r="A17" s="5" t="s">
        <v>1</v>
      </c>
      <c r="B17" s="5" t="s">
        <v>46</v>
      </c>
    </row>
    <row r="18" spans="1:11" x14ac:dyDescent="0.2">
      <c r="A18" s="5" t="s">
        <v>32</v>
      </c>
      <c r="B18" s="5" t="s">
        <v>18</v>
      </c>
    </row>
    <row r="19" spans="1:11" x14ac:dyDescent="0.2">
      <c r="A19" s="5" t="s">
        <v>19</v>
      </c>
      <c r="B19" s="5" t="s">
        <v>58</v>
      </c>
    </row>
    <row r="20" spans="1:11" x14ac:dyDescent="0.2">
      <c r="A20" s="5" t="s">
        <v>3</v>
      </c>
      <c r="B20" s="5" t="s">
        <v>33</v>
      </c>
    </row>
    <row r="21" spans="1:11" x14ac:dyDescent="0.2">
      <c r="A21" s="5" t="s">
        <v>10</v>
      </c>
      <c r="B21" s="5" t="s">
        <v>20</v>
      </c>
    </row>
    <row r="22" spans="1:11" x14ac:dyDescent="0.2">
      <c r="A22" s="5" t="s">
        <v>7</v>
      </c>
      <c r="B22" s="5" t="s">
        <v>21</v>
      </c>
    </row>
    <row r="23" spans="1:11" ht="16" x14ac:dyDescent="0.2">
      <c r="A23" s="5" t="s">
        <v>2</v>
      </c>
      <c r="B23" s="9" t="s">
        <v>50</v>
      </c>
    </row>
    <row r="24" spans="1:11" x14ac:dyDescent="0.2">
      <c r="A24" s="5"/>
    </row>
    <row r="25" spans="1:11" ht="16" x14ac:dyDescent="0.2">
      <c r="A25" s="5"/>
      <c r="B25" s="9"/>
    </row>
    <row r="26" spans="1:11" ht="16" x14ac:dyDescent="0.2">
      <c r="A26" s="8" t="s">
        <v>59</v>
      </c>
      <c r="B26" s="9"/>
    </row>
    <row r="27" spans="1:11" x14ac:dyDescent="0.2">
      <c r="I27" s="5" t="s">
        <v>29</v>
      </c>
      <c r="K27" s="8"/>
    </row>
    <row r="28" spans="1:11" x14ac:dyDescent="0.2">
      <c r="A28" s="5" t="s">
        <v>13</v>
      </c>
      <c r="B28" s="5" t="s">
        <v>9</v>
      </c>
      <c r="C28" s="5" t="s">
        <v>10</v>
      </c>
      <c r="D28" s="5" t="s">
        <v>22</v>
      </c>
      <c r="E28" s="5" t="s">
        <v>38</v>
      </c>
      <c r="F28" s="5" t="s">
        <v>19</v>
      </c>
      <c r="G28" s="5" t="s">
        <v>16</v>
      </c>
      <c r="H28" s="5" t="s">
        <v>28</v>
      </c>
      <c r="I28" s="5" t="s">
        <v>30</v>
      </c>
      <c r="K28" s="5"/>
    </row>
    <row r="29" spans="1:11" x14ac:dyDescent="0.2">
      <c r="A29">
        <v>1</v>
      </c>
      <c r="B29">
        <v>16</v>
      </c>
      <c r="C29">
        <v>30.5</v>
      </c>
      <c r="D29">
        <f t="shared" ref="D29:D34" si="0">B29*C29</f>
        <v>488</v>
      </c>
      <c r="E29" s="4">
        <v>1</v>
      </c>
      <c r="F29" s="4">
        <v>1</v>
      </c>
      <c r="G29">
        <f>B40*B44*F29</f>
        <v>13.931034482758625</v>
      </c>
      <c r="H29" s="2">
        <f t="shared" ref="H29:H34" si="1">ROUND(G29,0)</f>
        <v>14</v>
      </c>
      <c r="I29">
        <f>(B29-H29)^2/H29</f>
        <v>0.2857142857142857</v>
      </c>
      <c r="J29" s="10"/>
      <c r="K29" s="1"/>
    </row>
    <row r="30" spans="1:11" x14ac:dyDescent="0.2">
      <c r="A30">
        <v>2</v>
      </c>
      <c r="B30">
        <v>12</v>
      </c>
      <c r="C30">
        <v>91.5</v>
      </c>
      <c r="D30">
        <f t="shared" si="0"/>
        <v>1098</v>
      </c>
      <c r="E30" s="4">
        <f>B30/B29</f>
        <v>0.75</v>
      </c>
      <c r="F30" s="4">
        <f>1-(C30/B42)^B43</f>
        <v>0.8458586772715424</v>
      </c>
      <c r="G30">
        <f>B40*B44*F30</f>
        <v>11.783686400610456</v>
      </c>
      <c r="H30" s="2">
        <f t="shared" si="1"/>
        <v>12</v>
      </c>
      <c r="I30">
        <f>(B30-H30)^2/H30</f>
        <v>0</v>
      </c>
      <c r="J30" s="10"/>
      <c r="K30" s="1"/>
    </row>
    <row r="31" spans="1:11" x14ac:dyDescent="0.2">
      <c r="A31">
        <v>3</v>
      </c>
      <c r="B31">
        <v>7</v>
      </c>
      <c r="C31">
        <v>152.5</v>
      </c>
      <c r="D31">
        <f t="shared" si="0"/>
        <v>1067.5</v>
      </c>
      <c r="E31" s="4">
        <f>B31/B29</f>
        <v>0.4375</v>
      </c>
      <c r="F31" s="4">
        <f>1-(C31/B42)^B43</f>
        <v>0.69298688379840101</v>
      </c>
      <c r="G31">
        <f>B40*B44*F31</f>
        <v>9.6540241742949693</v>
      </c>
      <c r="H31" s="2">
        <f t="shared" si="1"/>
        <v>10</v>
      </c>
      <c r="I31">
        <f>(B31-H31)^2/H31</f>
        <v>0.9</v>
      </c>
      <c r="J31" s="10"/>
      <c r="K31" s="1"/>
    </row>
    <row r="32" spans="1:11" x14ac:dyDescent="0.2">
      <c r="A32">
        <v>4</v>
      </c>
      <c r="B32">
        <v>4</v>
      </c>
      <c r="C32">
        <v>213.5</v>
      </c>
      <c r="D32">
        <f t="shared" si="0"/>
        <v>854</v>
      </c>
      <c r="E32" s="4">
        <f>B32/B29</f>
        <v>0.25</v>
      </c>
      <c r="F32" s="4">
        <f>1-(C32/B42)^B43</f>
        <v>0.51665207153721981</v>
      </c>
      <c r="G32">
        <f>B40*B44*F32</f>
        <v>7.1974978241736851</v>
      </c>
      <c r="H32" s="2">
        <f t="shared" si="1"/>
        <v>7</v>
      </c>
      <c r="I32">
        <f>(B32-H32)^2/H32</f>
        <v>1.2857142857142858</v>
      </c>
      <c r="J32" s="10"/>
      <c r="K32" s="1"/>
    </row>
    <row r="33" spans="1:14" x14ac:dyDescent="0.2">
      <c r="A33">
        <v>5</v>
      </c>
      <c r="B33" s="6">
        <v>6</v>
      </c>
      <c r="C33">
        <v>274.5</v>
      </c>
      <c r="D33">
        <f t="shared" si="0"/>
        <v>1647</v>
      </c>
      <c r="E33" s="4">
        <f>B33/B29</f>
        <v>0.375</v>
      </c>
      <c r="F33" s="4">
        <f>1-(C33/B42)^B43</f>
        <v>0.32161227164823225</v>
      </c>
      <c r="G33" s="6">
        <f>B40*B44*F33</f>
        <v>4.4803916464098572</v>
      </c>
      <c r="H33" s="7">
        <f t="shared" si="1"/>
        <v>4</v>
      </c>
      <c r="I33" s="6">
        <f>((B33+B34)-(H33+H34))^2/(H33+H34)</f>
        <v>1.5</v>
      </c>
      <c r="K33" s="1"/>
    </row>
    <row r="34" spans="1:14" x14ac:dyDescent="0.2">
      <c r="A34">
        <v>6</v>
      </c>
      <c r="B34" s="6">
        <v>3</v>
      </c>
      <c r="C34">
        <v>335.5</v>
      </c>
      <c r="D34">
        <f t="shared" si="0"/>
        <v>1006.5</v>
      </c>
      <c r="E34" s="4">
        <f>B34/B29</f>
        <v>0.1875</v>
      </c>
      <c r="F34" s="4">
        <f>1-(C34/B42)^B43</f>
        <v>0.11073871958115911</v>
      </c>
      <c r="G34" s="6">
        <f>B40*B44*F34</f>
        <v>1.5427049210616652</v>
      </c>
      <c r="H34" s="7">
        <f t="shared" si="1"/>
        <v>2</v>
      </c>
      <c r="K34" s="2"/>
      <c r="M34" s="1"/>
    </row>
    <row r="35" spans="1:14" ht="14" customHeight="1" x14ac:dyDescent="0.2">
      <c r="A35" s="3" t="s">
        <v>0</v>
      </c>
      <c r="B35">
        <f>SUM(B29:B34)</f>
        <v>48</v>
      </c>
      <c r="C35">
        <f>SUM(C29:C34)</f>
        <v>1098</v>
      </c>
      <c r="D35">
        <f>SUM(D29:D34)</f>
        <v>6161</v>
      </c>
      <c r="H35">
        <f>SUM(H29:H34)</f>
        <v>49</v>
      </c>
      <c r="I35" s="5">
        <f>SUM(I29:I34)</f>
        <v>3.9714285714285715</v>
      </c>
      <c r="K35" s="2"/>
      <c r="L35" s="5"/>
      <c r="M35" s="1"/>
    </row>
    <row r="36" spans="1:14" ht="15" x14ac:dyDescent="0.2">
      <c r="A36" s="3"/>
      <c r="H36" s="2" t="s">
        <v>6</v>
      </c>
      <c r="I36" s="5" t="s">
        <v>52</v>
      </c>
      <c r="J36" s="5" t="s">
        <v>31</v>
      </c>
      <c r="K36" s="2"/>
      <c r="L36" s="5"/>
      <c r="M36" s="1"/>
    </row>
    <row r="37" spans="1:14" x14ac:dyDescent="0.2">
      <c r="A37" s="3"/>
      <c r="H37" s="2"/>
      <c r="I37" s="5"/>
      <c r="K37" s="2"/>
      <c r="L37" s="5"/>
      <c r="M37" s="1"/>
    </row>
    <row r="38" spans="1:14" x14ac:dyDescent="0.2">
      <c r="A38" s="5" t="s">
        <v>23</v>
      </c>
      <c r="B38">
        <v>198073000</v>
      </c>
      <c r="H38" s="6" t="s">
        <v>47</v>
      </c>
      <c r="K38" s="2"/>
      <c r="L38" s="5"/>
    </row>
    <row r="39" spans="1:14" x14ac:dyDescent="0.2">
      <c r="A39" s="5" t="s">
        <v>24</v>
      </c>
      <c r="B39">
        <v>61</v>
      </c>
      <c r="I39" s="2"/>
      <c r="L39" s="4"/>
      <c r="M39" s="4"/>
      <c r="N39" s="1"/>
    </row>
    <row r="40" spans="1:14" ht="12" customHeight="1" x14ac:dyDescent="0.2">
      <c r="A40" s="5" t="s">
        <v>1</v>
      </c>
      <c r="B40">
        <f>2*B38*B39</f>
        <v>24164906000</v>
      </c>
      <c r="H40" s="13" t="s">
        <v>48</v>
      </c>
      <c r="L40" s="4"/>
      <c r="M40" s="4"/>
      <c r="N40" s="1"/>
    </row>
    <row r="41" spans="1:14" x14ac:dyDescent="0.2">
      <c r="A41" s="5" t="s">
        <v>4</v>
      </c>
      <c r="B41">
        <f>D35/B35</f>
        <v>128.35416666666666</v>
      </c>
      <c r="I41" s="2"/>
      <c r="L41" s="4"/>
      <c r="M41" s="4"/>
      <c r="N41" s="1"/>
    </row>
    <row r="42" spans="1:14" x14ac:dyDescent="0.2">
      <c r="A42" s="5" t="s">
        <v>2</v>
      </c>
      <c r="B42">
        <v>366</v>
      </c>
      <c r="H42" s="13"/>
      <c r="I42" s="2"/>
      <c r="L42" s="4"/>
      <c r="M42" s="4"/>
      <c r="N42" s="1"/>
    </row>
    <row r="43" spans="1:14" x14ac:dyDescent="0.2">
      <c r="A43" s="5" t="s">
        <v>3</v>
      </c>
      <c r="B43">
        <f>(4*B41-B42)/(B42-2*B41)</f>
        <v>1.3488372093023251</v>
      </c>
    </row>
    <row r="44" spans="1:14" x14ac:dyDescent="0.2">
      <c r="A44" s="5" t="s">
        <v>25</v>
      </c>
      <c r="B44">
        <f>B35*(B43+1)^2/(4*B38*B41*B43*(B43+2))</f>
        <v>5.76498600191477E-10</v>
      </c>
    </row>
    <row r="45" spans="1:14" x14ac:dyDescent="0.2">
      <c r="A45" s="5" t="s">
        <v>26</v>
      </c>
      <c r="B45">
        <f>B44*100*100</f>
        <v>5.7649860019147704E-6</v>
      </c>
    </row>
    <row r="46" spans="1:14" x14ac:dyDescent="0.2">
      <c r="A46" s="5" t="s">
        <v>27</v>
      </c>
      <c r="B46">
        <f>B45*1000*1000</f>
        <v>5.7649860019147701</v>
      </c>
    </row>
    <row r="47" spans="1:14" x14ac:dyDescent="0.2">
      <c r="A47" s="5" t="s">
        <v>5</v>
      </c>
      <c r="B47">
        <f>B46*1000^2</f>
        <v>5764986.0019147703</v>
      </c>
    </row>
    <row r="50" spans="1:19" x14ac:dyDescent="0.2">
      <c r="A50" s="8" t="s">
        <v>60</v>
      </c>
    </row>
    <row r="51" spans="1:19" x14ac:dyDescent="0.2">
      <c r="A51" s="5" t="s">
        <v>62</v>
      </c>
    </row>
    <row r="52" spans="1:19" x14ac:dyDescent="0.2">
      <c r="A52" s="5" t="s">
        <v>61</v>
      </c>
    </row>
    <row r="53" spans="1:19" x14ac:dyDescent="0.2">
      <c r="D53" s="5"/>
    </row>
    <row r="55" spans="1:19" x14ac:dyDescent="0.2">
      <c r="F55" s="5" t="s">
        <v>35</v>
      </c>
      <c r="I55" s="5" t="s">
        <v>63</v>
      </c>
      <c r="K55" s="5" t="s">
        <v>36</v>
      </c>
      <c r="L55" s="5" t="s">
        <v>37</v>
      </c>
      <c r="O55" s="5" t="s">
        <v>36</v>
      </c>
    </row>
    <row r="56" spans="1:19" x14ac:dyDescent="0.2">
      <c r="A56" s="5" t="s">
        <v>13</v>
      </c>
      <c r="B56" s="5" t="s">
        <v>9</v>
      </c>
      <c r="C56" s="5" t="s">
        <v>10</v>
      </c>
      <c r="D56" s="5" t="s">
        <v>22</v>
      </c>
      <c r="E56" s="5" t="s">
        <v>38</v>
      </c>
      <c r="F56" s="5" t="s">
        <v>19</v>
      </c>
      <c r="G56" s="5" t="s">
        <v>16</v>
      </c>
      <c r="H56" s="5" t="s">
        <v>28</v>
      </c>
      <c r="I56" s="5" t="s">
        <v>39</v>
      </c>
      <c r="J56" s="5" t="s">
        <v>40</v>
      </c>
      <c r="K56" s="5" t="s">
        <v>30</v>
      </c>
      <c r="L56" s="5" t="s">
        <v>19</v>
      </c>
      <c r="M56" s="5" t="s">
        <v>41</v>
      </c>
      <c r="N56" s="5" t="s">
        <v>42</v>
      </c>
      <c r="O56" s="5" t="s">
        <v>30</v>
      </c>
      <c r="R56" s="5"/>
    </row>
    <row r="57" spans="1:19" x14ac:dyDescent="0.2">
      <c r="A57">
        <v>1</v>
      </c>
      <c r="B57">
        <v>16</v>
      </c>
      <c r="C57">
        <v>30.5</v>
      </c>
      <c r="D57">
        <f t="shared" ref="D57:D62" si="2">B57*C57</f>
        <v>488</v>
      </c>
      <c r="E57" s="4">
        <v>1</v>
      </c>
      <c r="F57" s="4">
        <v>1</v>
      </c>
      <c r="G57">
        <f>B71*B75*F57</f>
        <v>16.251231507528942</v>
      </c>
      <c r="H57">
        <f>ROUND(G57,0)</f>
        <v>16</v>
      </c>
      <c r="K57" s="10">
        <f t="shared" ref="K57:K62" si="3">(B57-G57)^2/G57</f>
        <v>3.8838453778732821E-3</v>
      </c>
      <c r="L57" s="10">
        <v>1</v>
      </c>
      <c r="M57">
        <f>C71*C75*L57</f>
        <v>22.336633663366339</v>
      </c>
      <c r="N57">
        <f>ROUND(M57,0)</f>
        <v>22</v>
      </c>
      <c r="O57">
        <f t="shared" ref="O57:O62" si="4">(B57-M57)^2/M57</f>
        <v>1.7976265711677561</v>
      </c>
      <c r="R57" s="11"/>
      <c r="S57" s="4"/>
    </row>
    <row r="58" spans="1:19" x14ac:dyDescent="0.2">
      <c r="A58">
        <v>2</v>
      </c>
      <c r="B58">
        <v>12</v>
      </c>
      <c r="C58">
        <v>91.5</v>
      </c>
      <c r="D58">
        <f t="shared" si="2"/>
        <v>1098</v>
      </c>
      <c r="E58" s="4">
        <f>B58/B57</f>
        <v>0.75</v>
      </c>
      <c r="F58" s="4">
        <f>1-(C58/B73)^B74</f>
        <v>0.70177760487396967</v>
      </c>
      <c r="G58">
        <f>B71*B75*F58</f>
        <v>11.404750323606052</v>
      </c>
      <c r="H58">
        <f t="shared" ref="H58:H62" si="5">ROUND(G58,0)</f>
        <v>11</v>
      </c>
      <c r="I58">
        <f>LN(C58)</f>
        <v>4.516338972281476</v>
      </c>
      <c r="J58">
        <f>LN(1-E58)</f>
        <v>-1.3862943611198906</v>
      </c>
      <c r="K58" s="10">
        <f t="shared" si="3"/>
        <v>3.1067946881196348E-2</v>
      </c>
      <c r="L58" s="10">
        <f>EXP(-C68*C58)</f>
        <v>1.9907342077733675E-2</v>
      </c>
      <c r="M58" s="6">
        <f>C71*C75*L58</f>
        <v>0.44466300720165519</v>
      </c>
      <c r="N58" s="6">
        <f t="shared" ref="N58:N62" si="6">ROUND(M58,0)</f>
        <v>0</v>
      </c>
      <c r="O58">
        <f t="shared" si="4"/>
        <v>300.28540907289778</v>
      </c>
      <c r="Q58" s="12"/>
      <c r="R58" s="11"/>
      <c r="S58" s="4"/>
    </row>
    <row r="59" spans="1:19" x14ac:dyDescent="0.2">
      <c r="A59">
        <v>3</v>
      </c>
      <c r="B59">
        <v>7</v>
      </c>
      <c r="C59">
        <v>152.5</v>
      </c>
      <c r="D59">
        <f t="shared" si="2"/>
        <v>1067.5</v>
      </c>
      <c r="E59" s="4">
        <f>B59/B57</f>
        <v>0.4375</v>
      </c>
      <c r="F59" s="4">
        <f>1-(C59/B73)^B74</f>
        <v>0.54397851522642426</v>
      </c>
      <c r="G59">
        <f>B71*B75*F59</f>
        <v>8.8403207860664779</v>
      </c>
      <c r="H59">
        <f t="shared" si="5"/>
        <v>9</v>
      </c>
      <c r="I59">
        <f>LN(C59)</f>
        <v>5.0271645960474665</v>
      </c>
      <c r="J59">
        <f>LN(1-E59)</f>
        <v>-0.5753641449035618</v>
      </c>
      <c r="K59" s="10">
        <f t="shared" si="3"/>
        <v>0.38310607472144631</v>
      </c>
      <c r="L59" s="10">
        <f>EXP(-C68*C59)</f>
        <v>1.4622516901621769E-3</v>
      </c>
      <c r="M59" s="6">
        <f>C71*C75*L59</f>
        <v>3.2661780326790804E-2</v>
      </c>
      <c r="N59" s="6">
        <f t="shared" si="6"/>
        <v>0</v>
      </c>
      <c r="O59">
        <f t="shared" si="4"/>
        <v>1486.257068096837</v>
      </c>
      <c r="Q59" s="12"/>
      <c r="R59" s="11"/>
      <c r="S59" s="4"/>
    </row>
    <row r="60" spans="1:19" x14ac:dyDescent="0.2">
      <c r="A60">
        <v>4</v>
      </c>
      <c r="B60">
        <v>4</v>
      </c>
      <c r="C60">
        <v>213.5</v>
      </c>
      <c r="D60">
        <f t="shared" si="2"/>
        <v>854</v>
      </c>
      <c r="E60" s="4">
        <f>B60/B57</f>
        <v>0.25</v>
      </c>
      <c r="F60" s="4">
        <f>1-(C60/B73)^B74</f>
        <v>0.39677941546739925</v>
      </c>
      <c r="G60">
        <f>B71*B75*F60</f>
        <v>6.4481541381827157</v>
      </c>
      <c r="H60">
        <f t="shared" si="5"/>
        <v>6</v>
      </c>
      <c r="I60">
        <f>LN(C60)</f>
        <v>5.3636368326686794</v>
      </c>
      <c r="J60">
        <f>LN(1-E60)</f>
        <v>-0.2876820724517809</v>
      </c>
      <c r="K60" s="10">
        <f t="shared" si="3"/>
        <v>0.92948440063039373</v>
      </c>
      <c r="L60" s="10">
        <f>EXP(-C68*C60)</f>
        <v>1.0740660390689177E-4</v>
      </c>
      <c r="M60" s="6">
        <f>C71*C75*L60</f>
        <v>2.3991019644945331E-3</v>
      </c>
      <c r="N60" s="6">
        <f t="shared" si="6"/>
        <v>0</v>
      </c>
      <c r="O60">
        <f t="shared" si="4"/>
        <v>6661.164542600538</v>
      </c>
      <c r="Q60" s="12"/>
      <c r="R60" s="11"/>
      <c r="S60" s="4"/>
    </row>
    <row r="61" spans="1:19" x14ac:dyDescent="0.2">
      <c r="A61">
        <v>5</v>
      </c>
      <c r="B61" s="5">
        <v>6</v>
      </c>
      <c r="C61">
        <v>274.5</v>
      </c>
      <c r="D61">
        <f t="shared" si="2"/>
        <v>1647</v>
      </c>
      <c r="E61" s="4">
        <f>B61/B57</f>
        <v>0.375</v>
      </c>
      <c r="F61" s="4">
        <f>1-(C61/B73)^B74</f>
        <v>0.25660631926530697</v>
      </c>
      <c r="G61">
        <f>B71*B75*F61</f>
        <v>4.1701687006753874</v>
      </c>
      <c r="H61">
        <f t="shared" si="5"/>
        <v>4</v>
      </c>
      <c r="I61">
        <f>LN(C61)</f>
        <v>5.6149512609495851</v>
      </c>
      <c r="J61">
        <f>LN(1-E61)</f>
        <v>-0.47000362924573558</v>
      </c>
      <c r="K61" s="10">
        <f t="shared" si="3"/>
        <v>0.80291298130114563</v>
      </c>
      <c r="L61" s="10">
        <f>EXP(-C68*C61)</f>
        <v>7.8893248272002229E-6</v>
      </c>
      <c r="M61" s="6">
        <f>C71*C75*L61</f>
        <v>1.7622095851647232E-4</v>
      </c>
      <c r="N61" s="6">
        <f t="shared" si="6"/>
        <v>0</v>
      </c>
      <c r="O61">
        <f t="shared" si="4"/>
        <v>204276.98091420106</v>
      </c>
      <c r="Q61" s="12"/>
      <c r="R61" s="11"/>
      <c r="S61" s="4"/>
    </row>
    <row r="62" spans="1:19" x14ac:dyDescent="0.2">
      <c r="A62">
        <v>6</v>
      </c>
      <c r="B62" s="5">
        <v>3</v>
      </c>
      <c r="C62">
        <v>335.5</v>
      </c>
      <c r="D62">
        <f t="shared" si="2"/>
        <v>1006.5</v>
      </c>
      <c r="E62" s="4">
        <f>B62/B57</f>
        <v>0.1875</v>
      </c>
      <c r="F62" s="4">
        <f>1-(C62/B73)^B74</f>
        <v>0.12163399097370009</v>
      </c>
      <c r="G62">
        <f>B71*B75*F62</f>
        <v>1.9767021464982859</v>
      </c>
      <c r="H62">
        <f t="shared" si="5"/>
        <v>2</v>
      </c>
      <c r="I62">
        <f>LN(C62)</f>
        <v>5.8156219564117366</v>
      </c>
      <c r="J62">
        <f>LN(1-E62)</f>
        <v>-0.20763936477824449</v>
      </c>
      <c r="K62" s="10">
        <f t="shared" si="3"/>
        <v>0.52974015272670893</v>
      </c>
      <c r="L62" s="10">
        <f>EXP(-C68*C62)</f>
        <v>5.7949366207531765E-7</v>
      </c>
      <c r="M62" s="6">
        <f>C71*C75*L62</f>
        <v>1.2943937640018977E-5</v>
      </c>
      <c r="N62" s="6">
        <f t="shared" si="6"/>
        <v>0</v>
      </c>
      <c r="O62">
        <f t="shared" si="4"/>
        <v>695300.19278805109</v>
      </c>
      <c r="Q62" s="12"/>
      <c r="R62" s="11"/>
      <c r="S62" s="4"/>
    </row>
    <row r="63" spans="1:19" x14ac:dyDescent="0.2">
      <c r="A63" s="5" t="s">
        <v>0</v>
      </c>
      <c r="B63">
        <f>SUM(B57:B62)</f>
        <v>48</v>
      </c>
      <c r="C63">
        <f>SUM(C57:C62)</f>
        <v>1098</v>
      </c>
      <c r="D63">
        <f>SUM(D57:D62)</f>
        <v>6161</v>
      </c>
      <c r="H63">
        <f>SUM(H57:H62)</f>
        <v>48</v>
      </c>
      <c r="J63" s="5"/>
      <c r="K63">
        <f>SUM(K57:K62)</f>
        <v>2.6801954016387644</v>
      </c>
      <c r="M63" s="2"/>
      <c r="N63">
        <f>SUM(N57:N62)</f>
        <v>22</v>
      </c>
      <c r="O63">
        <f>SUM(O57:O62)</f>
        <v>908026.67834859365</v>
      </c>
      <c r="P63" s="5"/>
      <c r="Q63" s="1"/>
    </row>
    <row r="64" spans="1:19" x14ac:dyDescent="0.2">
      <c r="A64" s="5"/>
      <c r="J64" s="2"/>
      <c r="N64" s="4"/>
      <c r="O64" s="4"/>
      <c r="P64" s="1"/>
    </row>
    <row r="65" spans="1:16" x14ac:dyDescent="0.2">
      <c r="A65" s="5"/>
      <c r="J65" s="5"/>
      <c r="K65" s="13" t="s">
        <v>51</v>
      </c>
      <c r="L65" s="5" t="s">
        <v>31</v>
      </c>
      <c r="M65" s="6" t="s">
        <v>49</v>
      </c>
      <c r="N65" s="5"/>
      <c r="O65" s="13"/>
      <c r="P65" s="5"/>
    </row>
    <row r="66" spans="1:16" x14ac:dyDescent="0.2">
      <c r="A66" s="5"/>
      <c r="K66" s="2"/>
      <c r="N66" s="4"/>
      <c r="O66" s="4"/>
      <c r="P66" s="1"/>
    </row>
    <row r="67" spans="1:16" x14ac:dyDescent="0.2">
      <c r="A67" s="5"/>
      <c r="B67" s="5" t="s">
        <v>35</v>
      </c>
      <c r="C67" s="5" t="s">
        <v>70</v>
      </c>
      <c r="K67" s="2"/>
      <c r="N67" s="4"/>
      <c r="O67" s="4"/>
      <c r="P67" s="1"/>
    </row>
    <row r="68" spans="1:16" x14ac:dyDescent="0.2">
      <c r="A68" s="5" t="s">
        <v>43</v>
      </c>
      <c r="C68">
        <f>(B63-1)/C63</f>
        <v>4.2805100182149364E-2</v>
      </c>
      <c r="J68" s="6"/>
      <c r="K68" s="2"/>
      <c r="N68" s="4"/>
      <c r="O68" s="4"/>
      <c r="P68" s="1"/>
    </row>
    <row r="69" spans="1:16" x14ac:dyDescent="0.2">
      <c r="A69" s="5" t="s">
        <v>23</v>
      </c>
      <c r="B69">
        <v>198073000</v>
      </c>
      <c r="C69">
        <v>198073000</v>
      </c>
      <c r="K69" s="2"/>
      <c r="N69" s="4"/>
      <c r="O69" s="4"/>
      <c r="P69" s="1"/>
    </row>
    <row r="70" spans="1:16" x14ac:dyDescent="0.2">
      <c r="A70" s="5" t="s">
        <v>24</v>
      </c>
      <c r="B70">
        <v>61</v>
      </c>
      <c r="C70">
        <v>61</v>
      </c>
    </row>
    <row r="71" spans="1:16" x14ac:dyDescent="0.2">
      <c r="A71" s="5" t="s">
        <v>1</v>
      </c>
      <c r="B71">
        <f>2*B69*B70</f>
        <v>24164906000</v>
      </c>
      <c r="C71">
        <f>2*C69*C70</f>
        <v>24164906000</v>
      </c>
    </row>
    <row r="72" spans="1:16" x14ac:dyDescent="0.2">
      <c r="A72" s="5" t="s">
        <v>4</v>
      </c>
      <c r="B72">
        <f>D63/B63</f>
        <v>128.35416666666666</v>
      </c>
      <c r="C72">
        <f>D63/B63</f>
        <v>128.35416666666666</v>
      </c>
    </row>
    <row r="73" spans="1:16" x14ac:dyDescent="0.2">
      <c r="A73" s="5" t="s">
        <v>2</v>
      </c>
      <c r="B73">
        <f>EXP(4.9648/0.8314)</f>
        <v>392.13812790014816</v>
      </c>
      <c r="C73">
        <f>EXP(4.9648/0.8314)</f>
        <v>392.13812790014816</v>
      </c>
    </row>
    <row r="74" spans="1:16" x14ac:dyDescent="0.2">
      <c r="A74" s="5" t="s">
        <v>3</v>
      </c>
      <c r="B74">
        <v>0.83140000000000003</v>
      </c>
      <c r="C74">
        <v>0.83140000000000003</v>
      </c>
    </row>
    <row r="75" spans="1:16" x14ac:dyDescent="0.2">
      <c r="A75" s="5" t="s">
        <v>25</v>
      </c>
      <c r="B75">
        <f>B63*(B74+1)^2/(4*B69*B72*B74*(B74+2))</f>
        <v>6.7251374814075187E-10</v>
      </c>
      <c r="C75">
        <f>(B63-1)/(2*B69*B72)</f>
        <v>9.2434183949924488E-10</v>
      </c>
    </row>
    <row r="76" spans="1:16" x14ac:dyDescent="0.2">
      <c r="A76" s="5" t="s">
        <v>26</v>
      </c>
      <c r="B76">
        <f>B75*100*100</f>
        <v>6.7251374814075187E-6</v>
      </c>
      <c r="C76">
        <f>C75*100^2</f>
        <v>9.2434183949924489E-6</v>
      </c>
    </row>
    <row r="77" spans="1:16" x14ac:dyDescent="0.2">
      <c r="A77" s="5" t="s">
        <v>27</v>
      </c>
      <c r="B77">
        <f>B76*1000*1000</f>
        <v>6.7251374814075184</v>
      </c>
      <c r="C77">
        <f>C76*1000^2</f>
        <v>9.2434183949924495</v>
      </c>
    </row>
    <row r="82" spans="1:9" x14ac:dyDescent="0.2">
      <c r="A82" s="5" t="s">
        <v>65</v>
      </c>
    </row>
    <row r="83" spans="1:9" x14ac:dyDescent="0.2">
      <c r="A83" s="5" t="s">
        <v>71</v>
      </c>
      <c r="I83" s="5" t="s">
        <v>64</v>
      </c>
    </row>
    <row r="84" spans="1:9" x14ac:dyDescent="0.2">
      <c r="A84" s="5" t="s">
        <v>72</v>
      </c>
      <c r="I84" s="5"/>
    </row>
    <row r="85" spans="1:9" x14ac:dyDescent="0.2">
      <c r="A85" s="5" t="s">
        <v>73</v>
      </c>
    </row>
    <row r="87" spans="1:9" x14ac:dyDescent="0.2">
      <c r="A87" s="5" t="s">
        <v>53</v>
      </c>
    </row>
    <row r="88" spans="1:9" x14ac:dyDescent="0.2">
      <c r="A88" s="5" t="s">
        <v>54</v>
      </c>
    </row>
    <row r="89" spans="1:9" x14ac:dyDescent="0.2">
      <c r="A89" s="5" t="s">
        <v>66</v>
      </c>
    </row>
    <row r="92" spans="1:9" x14ac:dyDescent="0.2">
      <c r="A92" s="8" t="s">
        <v>67</v>
      </c>
    </row>
    <row r="93" spans="1:9" ht="16" x14ac:dyDescent="0.2">
      <c r="A93" s="9" t="s">
        <v>12</v>
      </c>
    </row>
    <row r="94" spans="1:9" ht="16" x14ac:dyDescent="0.2">
      <c r="A94" s="9" t="s">
        <v>68</v>
      </c>
    </row>
    <row r="95" spans="1:9" ht="18" x14ac:dyDescent="0.2">
      <c r="A95" s="9" t="s">
        <v>69</v>
      </c>
    </row>
  </sheetData>
  <printOptions gridLines="1" gridLinesSet="0"/>
  <pageMargins left="0.78740157499999996" right="0.78740157499999996" top="0.984251969" bottom="0.984251969" header="0.5" footer="0.5"/>
  <pageSetup paperSize="0" scale="0" orientation="portrait" horizontalDpi="0" verticalDpi="0" copies="0"/>
  <headerFooter alignWithMargins="0">
    <oddHeader>&amp;F</oddHeader>
    <oddFooter>Seite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Löffelente-Diadat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2022-03-01T12:27:58Z</dcterms:created>
  <dcterms:modified xsi:type="dcterms:W3CDTF">2026-02-14T19:10:56Z</dcterms:modified>
</cp:coreProperties>
</file>