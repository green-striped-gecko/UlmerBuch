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431FA14D-EEDC-BF42-8486-7CD0728AE92C}" xr6:coauthVersionLast="47" xr6:coauthVersionMax="47" xr10:uidLastSave="{00000000-0000-0000-0000-000000000000}"/>
  <bookViews>
    <workbookView xWindow="560" yWindow="500" windowWidth="28240" windowHeight="16140" xr2:uid="{8E124A19-0824-544F-9335-58BBA3C0E07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 s="1"/>
  <c r="B8" i="1" s="1"/>
  <c r="B9" i="1" s="1"/>
  <c r="B10" i="1" s="1"/>
  <c r="B11" i="1" s="1"/>
  <c r="B16" i="1"/>
  <c r="C12" i="1" l="1"/>
  <c r="B12" i="1"/>
</calcChain>
</file>

<file path=xl/sharedStrings.xml><?xml version="1.0" encoding="utf-8"?>
<sst xmlns="http://schemas.openxmlformats.org/spreadsheetml/2006/main" count="9" uniqueCount="9">
  <si>
    <t>Abfangaktion s</t>
  </si>
  <si>
    <t>Kumulativer Fang x</t>
  </si>
  <si>
    <t>Gefangene Fische y</t>
  </si>
  <si>
    <t>Summe</t>
  </si>
  <si>
    <t>a</t>
  </si>
  <si>
    <t>b</t>
  </si>
  <si>
    <t>N</t>
  </si>
  <si>
    <t>Tab. 6.7, Beispiel 6.9: Schätzung der Populationsgröße von Renken mit Regressionsanalyse von Abfangdaten</t>
  </si>
  <si>
    <r>
      <t xml:space="preserve">Hart, J.L. (1931): The growth of the whitefish, </t>
    </r>
    <r>
      <rPr>
        <i/>
        <sz val="12"/>
        <color theme="1"/>
        <rFont val="Times New Roman"/>
        <family val="1"/>
      </rPr>
      <t>Coregonus clupeaformis</t>
    </r>
    <r>
      <rPr>
        <sz val="12"/>
        <color theme="1"/>
        <rFont val="Times New Roman"/>
        <family val="1"/>
      </rPr>
      <t xml:space="preserve"> (Mitchill). – Contributions to Canadian Biology and Fisheries, New Series 6(20): 427–444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</si>
</sst>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Tabelle1!$C$4</c:f>
              <c:strCache>
                <c:ptCount val="1"/>
                <c:pt idx="0">
                  <c:v>Gefangene Fische 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25400">
                <a:solidFill>
                  <a:schemeClr val="tx1"/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2338582677165356E-2"/>
                  <c:y val="-0.451244896471274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Tabelle1!$B$5:$B$11</c:f>
              <c:numCache>
                <c:formatCode>General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51</c:v>
                </c:pt>
                <c:pt idx="3">
                  <c:v>66</c:v>
                </c:pt>
                <c:pt idx="4">
                  <c:v>79</c:v>
                </c:pt>
                <c:pt idx="5">
                  <c:v>91</c:v>
                </c:pt>
                <c:pt idx="6">
                  <c:v>104</c:v>
                </c:pt>
              </c:numCache>
            </c:numRef>
          </c:xVal>
          <c:yVal>
            <c:numRef>
              <c:f>Tabelle1!$C$5:$C$11</c:f>
              <c:numCache>
                <c:formatCode>General</c:formatCode>
                <c:ptCount val="7"/>
                <c:pt idx="0">
                  <c:v>25</c:v>
                </c:pt>
                <c:pt idx="1">
                  <c:v>26</c:v>
                </c:pt>
                <c:pt idx="2">
                  <c:v>15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F7-664B-AF61-810B547D8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3464959"/>
        <c:axId val="903384863"/>
      </c:scatterChart>
      <c:valAx>
        <c:axId val="903464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>
                    <a:solidFill>
                      <a:schemeClr val="tx1"/>
                    </a:solidFill>
                  </a:rPr>
                  <a:t>Kumulativer Fang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03384863"/>
        <c:crosses val="autoZero"/>
        <c:crossBetween val="midCat"/>
      </c:valAx>
      <c:valAx>
        <c:axId val="9033848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100">
                    <a:solidFill>
                      <a:schemeClr val="tx1"/>
                    </a:solidFill>
                  </a:rPr>
                  <a:t>Gefangene</a:t>
                </a:r>
                <a:r>
                  <a:rPr lang="de-DE" sz="1100" baseline="0">
                    <a:solidFill>
                      <a:schemeClr val="tx1"/>
                    </a:solidFill>
                  </a:rPr>
                  <a:t> Renken</a:t>
                </a:r>
                <a:endParaRPr lang="de-DE" sz="11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03464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273050</xdr:colOff>
      <xdr:row>2</xdr:row>
      <xdr:rowOff>158750</xdr:rowOff>
    </xdr:from>
    <xdr:to>
      <xdr:col>9</xdr:col>
      <xdr:colOff>717550</xdr:colOff>
      <xdr:row>15</xdr:row>
      <xdr:rowOff>57150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1691B797-5CED-0C41-BA23-7FBAFFE12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A9C7A-6D4E-D54B-8EAD-FF7E4C9DDC51}">
  <dimension ref="A1:H16"/>
  <sheetViews>
    <sheetView tabSelected="1" workbookViewId="0">
      <selection activeCell="A2" sqref="A2"/>
    </sheetView>
  </sheetViews>
  <sheetFormatPr baseColWidth="10" defaultRowHeight="16" x14ac:dyDescent="0.2"/>
  <cols>
    <col min="1" max="1" width="15.6640625" customWidth="1"/>
    <col min="2" max="2" width="17.5" customWidth="1"/>
    <col min="3" max="3" width="20.1640625" customWidth="1"/>
    <col min="4" max="4" width="14.33203125" customWidth="1"/>
  </cols>
  <sheetData>
    <row r="1" spans="1:8" s="1" customFormat="1" x14ac:dyDescent="0.2">
      <c r="A1" s="1" t="s">
        <v>7</v>
      </c>
    </row>
    <row r="2" spans="1:8" x14ac:dyDescent="0.2">
      <c r="A2" s="3" t="s">
        <v>8</v>
      </c>
    </row>
    <row r="4" spans="1:8" x14ac:dyDescent="0.2">
      <c r="A4" s="1" t="s">
        <v>0</v>
      </c>
      <c r="B4" s="1" t="s">
        <v>1</v>
      </c>
      <c r="C4" s="1" t="s">
        <v>2</v>
      </c>
      <c r="D4" s="1"/>
      <c r="E4" s="1"/>
      <c r="F4" s="1"/>
      <c r="G4" s="1"/>
      <c r="H4" s="1"/>
    </row>
    <row r="5" spans="1:8" x14ac:dyDescent="0.2">
      <c r="A5">
        <v>1</v>
      </c>
      <c r="B5" s="2">
        <v>0</v>
      </c>
      <c r="C5" s="2">
        <v>25</v>
      </c>
    </row>
    <row r="6" spans="1:8" x14ac:dyDescent="0.2">
      <c r="A6">
        <v>2</v>
      </c>
      <c r="B6" s="2">
        <f>C5</f>
        <v>25</v>
      </c>
      <c r="C6" s="2">
        <v>26</v>
      </c>
    </row>
    <row r="7" spans="1:8" x14ac:dyDescent="0.2">
      <c r="A7">
        <v>3</v>
      </c>
      <c r="B7" s="2">
        <f>B6+C6</f>
        <v>51</v>
      </c>
      <c r="C7" s="2">
        <v>15</v>
      </c>
    </row>
    <row r="8" spans="1:8" x14ac:dyDescent="0.2">
      <c r="A8">
        <v>4</v>
      </c>
      <c r="B8" s="2">
        <f>B7+C7</f>
        <v>66</v>
      </c>
      <c r="C8" s="2">
        <v>13</v>
      </c>
    </row>
    <row r="9" spans="1:8" x14ac:dyDescent="0.2">
      <c r="A9">
        <v>5</v>
      </c>
      <c r="B9" s="2">
        <f t="shared" ref="B9:B11" si="0">B8+C8</f>
        <v>79</v>
      </c>
      <c r="C9" s="2">
        <v>12</v>
      </c>
    </row>
    <row r="10" spans="1:8" x14ac:dyDescent="0.2">
      <c r="A10">
        <v>6</v>
      </c>
      <c r="B10" s="2">
        <f t="shared" si="0"/>
        <v>91</v>
      </c>
      <c r="C10" s="2">
        <v>13</v>
      </c>
    </row>
    <row r="11" spans="1:8" x14ac:dyDescent="0.2">
      <c r="A11">
        <v>7</v>
      </c>
      <c r="B11" s="2">
        <f t="shared" si="0"/>
        <v>104</v>
      </c>
      <c r="C11" s="2">
        <v>5</v>
      </c>
    </row>
    <row r="12" spans="1:8" x14ac:dyDescent="0.2">
      <c r="A12" t="s">
        <v>3</v>
      </c>
      <c r="B12">
        <f>SUM(B5:B11)</f>
        <v>416</v>
      </c>
      <c r="C12">
        <f t="shared" ref="C12" si="1">SUM(C5:C11)</f>
        <v>109</v>
      </c>
    </row>
    <row r="14" spans="1:8" x14ac:dyDescent="0.2">
      <c r="A14" t="s">
        <v>4</v>
      </c>
      <c r="B14">
        <v>26.835000000000001</v>
      </c>
    </row>
    <row r="15" spans="1:8" x14ac:dyDescent="0.2">
      <c r="A15" t="s">
        <v>5</v>
      </c>
      <c r="B15">
        <v>-0.1895</v>
      </c>
    </row>
    <row r="16" spans="1:8" x14ac:dyDescent="0.2">
      <c r="A16" t="s">
        <v>6</v>
      </c>
      <c r="B16">
        <f>-B14/B15</f>
        <v>141.6094986807388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2024-03-24T11:28:36Z</dcterms:created>
  <dcterms:modified xsi:type="dcterms:W3CDTF">2025-10-23T12:49:51Z</dcterms:modified>
</cp:coreProperties>
</file>