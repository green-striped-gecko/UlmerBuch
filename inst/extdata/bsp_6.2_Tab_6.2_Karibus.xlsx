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8_{B03420A1-EFCF-BF4B-A3B3-9616AC247B82}" xr6:coauthVersionLast="47" xr6:coauthVersionMax="47" xr10:uidLastSave="{00000000-0000-0000-0000-000000000000}"/>
  <bookViews>
    <workbookView xWindow="7180" yWindow="2540" windowWidth="21620" windowHeight="11820" xr2:uid="{00000000-000D-0000-FFFF-FFFF00000000}"/>
  </bookViews>
  <sheets>
    <sheet name="Karibo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 l="1"/>
  <c r="F13" i="1"/>
  <c r="H13" i="1"/>
  <c r="F14" i="1"/>
  <c r="H14" i="1"/>
  <c r="F15" i="1"/>
  <c r="H15" i="1"/>
  <c r="F16" i="1"/>
  <c r="H16" i="1"/>
  <c r="F17" i="1"/>
  <c r="H17" i="1"/>
  <c r="F18" i="1"/>
  <c r="H18" i="1"/>
  <c r="B19" i="1"/>
  <c r="C19" i="1"/>
  <c r="D19" i="1"/>
  <c r="E19" i="1"/>
  <c r="G20" i="1"/>
  <c r="F19" i="1" l="1"/>
  <c r="B23" i="1" s="1"/>
  <c r="H19" i="1"/>
  <c r="H20" i="1" s="1"/>
  <c r="B24" i="1" l="1"/>
</calcChain>
</file>

<file path=xl/sharedStrings.xml><?xml version="1.0" encoding="utf-8"?>
<sst xmlns="http://schemas.openxmlformats.org/spreadsheetml/2006/main" count="27" uniqueCount="24">
  <si>
    <t>Freiheitsgrade</t>
  </si>
  <si>
    <t>Summe:</t>
  </si>
  <si>
    <t>Tj*(Tj-sj)/sj*Var(Nj)</t>
  </si>
  <si>
    <t>95%-Vertrauensinterval</t>
  </si>
  <si>
    <t>Ti</t>
  </si>
  <si>
    <t>Ni</t>
  </si>
  <si>
    <t>Var(N)</t>
  </si>
  <si>
    <t>PFi</t>
  </si>
  <si>
    <t>Stratum i</t>
  </si>
  <si>
    <t>Pfi</t>
  </si>
  <si>
    <t>ni-quer</t>
  </si>
  <si>
    <t>Var(ni)=si^2</t>
  </si>
  <si>
    <t>oben</t>
  </si>
  <si>
    <t>unten</t>
  </si>
  <si>
    <t>Anzahl Teilflächen im Stratum i</t>
  </si>
  <si>
    <t>Geschätzte Populationsgröße im Stratum i</t>
  </si>
  <si>
    <t>Tab. 6.2 Beispiel 6.2, Kap. 6.2.2.3 Stratifizierte Erfassung von Karibus</t>
  </si>
  <si>
    <t>Siniff, D.B., Skoog, R.O (1964): Aerial censusing of caribou by stratified random sampling. – The Journal of Wildlife Management 28: 391–401</t>
  </si>
  <si>
    <t>Datenquelle</t>
  </si>
  <si>
    <t>Parameterdefinitionen</t>
  </si>
  <si>
    <t>ni</t>
  </si>
  <si>
    <t>Anzahl Probefläche im Stratum i</t>
  </si>
  <si>
    <t>Mittlere Anzahl beobachteter Karibous in den Probeflächen des Startums i</t>
  </si>
  <si>
    <t>Gesamtgröße der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</si>
</sst>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Geneva"/>
    </font>
    <font>
      <b/>
      <sz val="10"/>
      <name val="Geneva"/>
      <family val="2"/>
    </font>
    <font>
      <sz val="10"/>
      <name val="Geneva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3" fontId="0" fillId="0" borderId="0" xfId="0" applyNumberFormat="1"/>
    <xf numFmtId="1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13" workbookViewId="0">
      <selection activeCell="D27" sqref="D27"/>
    </sheetView>
  </sheetViews>
  <sheetFormatPr baseColWidth="10" defaultColWidth="12.42578125" defaultRowHeight="14" x14ac:dyDescent="0.2"/>
  <cols>
    <col min="1" max="6" width="12.42578125" customWidth="1"/>
    <col min="7" max="7" width="16.85546875" customWidth="1"/>
    <col min="8" max="8" width="29" customWidth="1"/>
  </cols>
  <sheetData>
    <row r="1" spans="1:8" x14ac:dyDescent="0.2">
      <c r="A1" s="5" t="s">
        <v>16</v>
      </c>
    </row>
    <row r="2" spans="1:8" ht="16" x14ac:dyDescent="0.2">
      <c r="A2" s="5" t="s">
        <v>18</v>
      </c>
      <c r="B2" s="7" t="s">
        <v>17</v>
      </c>
    </row>
    <row r="3" spans="1:8" ht="16" x14ac:dyDescent="0.2">
      <c r="A3" s="5"/>
      <c r="B3" s="7"/>
    </row>
    <row r="4" spans="1:8" ht="16" x14ac:dyDescent="0.2">
      <c r="A4" s="8" t="s">
        <v>19</v>
      </c>
    </row>
    <row r="5" spans="1:8" s="6" customFormat="1" ht="16" x14ac:dyDescent="0.2">
      <c r="A5" s="7" t="s">
        <v>20</v>
      </c>
      <c r="B5" s="6" t="s">
        <v>22</v>
      </c>
    </row>
    <row r="6" spans="1:8" s="6" customFormat="1" ht="16" x14ac:dyDescent="0.2">
      <c r="A6" s="7" t="s">
        <v>5</v>
      </c>
      <c r="B6" s="6" t="s">
        <v>15</v>
      </c>
    </row>
    <row r="7" spans="1:8" s="6" customFormat="1" x14ac:dyDescent="0.2">
      <c r="A7" s="6" t="s">
        <v>20</v>
      </c>
      <c r="B7" s="6" t="s">
        <v>23</v>
      </c>
    </row>
    <row r="8" spans="1:8" s="6" customFormat="1" ht="16" x14ac:dyDescent="0.2">
      <c r="A8" s="7" t="s">
        <v>9</v>
      </c>
      <c r="B8" s="6" t="s">
        <v>21</v>
      </c>
    </row>
    <row r="9" spans="1:8" s="6" customFormat="1" ht="16" x14ac:dyDescent="0.2">
      <c r="A9" s="7" t="s">
        <v>4</v>
      </c>
      <c r="B9" s="6" t="s">
        <v>14</v>
      </c>
    </row>
    <row r="10" spans="1:8" ht="16" x14ac:dyDescent="0.2">
      <c r="A10" s="5"/>
      <c r="B10" s="7"/>
    </row>
    <row r="11" spans="1:8" x14ac:dyDescent="0.2">
      <c r="G11" s="6" t="s">
        <v>6</v>
      </c>
    </row>
    <row r="12" spans="1:8" x14ac:dyDescent="0.2">
      <c r="A12" s="6" t="s">
        <v>8</v>
      </c>
      <c r="B12" s="6" t="s">
        <v>4</v>
      </c>
      <c r="C12" s="6" t="s">
        <v>7</v>
      </c>
      <c r="D12" s="6" t="s">
        <v>10</v>
      </c>
      <c r="E12" s="6" t="s">
        <v>11</v>
      </c>
      <c r="F12" s="6" t="s">
        <v>5</v>
      </c>
      <c r="G12" t="s">
        <v>2</v>
      </c>
      <c r="H12" t="s">
        <v>0</v>
      </c>
    </row>
    <row r="13" spans="1:8" x14ac:dyDescent="0.2">
      <c r="A13">
        <v>1</v>
      </c>
      <c r="B13">
        <v>400</v>
      </c>
      <c r="C13">
        <v>98</v>
      </c>
      <c r="D13">
        <v>24.1</v>
      </c>
      <c r="E13" s="2">
        <v>5575</v>
      </c>
      <c r="F13" s="3">
        <f t="shared" ref="F13:F18" si="0">D13*B13</f>
        <v>9640</v>
      </c>
      <c r="G13" s="3">
        <f>B13^2*E13/C13*(1-C13/B13)</f>
        <v>6872040.8163265307</v>
      </c>
      <c r="H13">
        <f t="shared" ref="H13:H18" si="1">G13^2/(C13-1)</f>
        <v>486855102899.56506</v>
      </c>
    </row>
    <row r="14" spans="1:8" x14ac:dyDescent="0.2">
      <c r="A14">
        <v>2</v>
      </c>
      <c r="B14">
        <v>30</v>
      </c>
      <c r="C14">
        <v>10</v>
      </c>
      <c r="D14">
        <v>25.6</v>
      </c>
      <c r="E14" s="2">
        <v>4064</v>
      </c>
      <c r="F14" s="3">
        <f t="shared" si="0"/>
        <v>768</v>
      </c>
      <c r="G14" s="3">
        <f t="shared" ref="G14:G18" si="2">B14^2*E14/C14*(1-C14/B14)</f>
        <v>243840.00000000003</v>
      </c>
      <c r="H14">
        <f t="shared" si="1"/>
        <v>6606438400.0000019</v>
      </c>
    </row>
    <row r="15" spans="1:8" x14ac:dyDescent="0.2">
      <c r="A15">
        <v>3</v>
      </c>
      <c r="B15">
        <v>61</v>
      </c>
      <c r="C15">
        <v>37</v>
      </c>
      <c r="D15">
        <v>267.60000000000002</v>
      </c>
      <c r="E15" s="2">
        <v>347556</v>
      </c>
      <c r="F15" s="3">
        <f t="shared" si="0"/>
        <v>16323.600000000002</v>
      </c>
      <c r="G15" s="3">
        <f t="shared" si="2"/>
        <v>13751945.513513513</v>
      </c>
      <c r="H15">
        <f t="shared" si="1"/>
        <v>5253222372406.79</v>
      </c>
    </row>
    <row r="16" spans="1:8" x14ac:dyDescent="0.2">
      <c r="A16">
        <v>4</v>
      </c>
      <c r="B16">
        <v>18</v>
      </c>
      <c r="C16">
        <v>6</v>
      </c>
      <c r="D16">
        <v>179</v>
      </c>
      <c r="E16" s="3">
        <v>22798</v>
      </c>
      <c r="F16" s="3">
        <f t="shared" si="0"/>
        <v>3222</v>
      </c>
      <c r="G16" s="3">
        <f t="shared" si="2"/>
        <v>820728.00000000012</v>
      </c>
      <c r="H16">
        <f t="shared" si="1"/>
        <v>134718889996.80005</v>
      </c>
    </row>
    <row r="17" spans="1:8" x14ac:dyDescent="0.2">
      <c r="A17">
        <v>5</v>
      </c>
      <c r="B17">
        <v>70</v>
      </c>
      <c r="C17">
        <v>39</v>
      </c>
      <c r="D17">
        <v>293.7</v>
      </c>
      <c r="E17" s="2">
        <v>123578</v>
      </c>
      <c r="F17" s="3">
        <f t="shared" si="0"/>
        <v>20559</v>
      </c>
      <c r="G17" s="3">
        <f t="shared" si="2"/>
        <v>6876006.666666666</v>
      </c>
      <c r="H17">
        <f t="shared" si="1"/>
        <v>1244196517895.9062</v>
      </c>
    </row>
    <row r="18" spans="1:8" x14ac:dyDescent="0.2">
      <c r="A18">
        <v>6</v>
      </c>
      <c r="B18">
        <v>120</v>
      </c>
      <c r="C18">
        <v>21</v>
      </c>
      <c r="D18">
        <v>33.200000000000003</v>
      </c>
      <c r="E18" s="2">
        <v>9795</v>
      </c>
      <c r="F18" s="3">
        <f t="shared" si="0"/>
        <v>3984.0000000000005</v>
      </c>
      <c r="G18" s="3">
        <f t="shared" si="2"/>
        <v>5541171.4285714282</v>
      </c>
      <c r="H18">
        <f t="shared" si="1"/>
        <v>1535229040040.8159</v>
      </c>
    </row>
    <row r="19" spans="1:8" x14ac:dyDescent="0.2">
      <c r="A19" t="s">
        <v>1</v>
      </c>
      <c r="B19">
        <f t="shared" ref="B19:H19" si="3">SUM(B13:B18)</f>
        <v>699</v>
      </c>
      <c r="C19">
        <f t="shared" si="3"/>
        <v>211</v>
      </c>
      <c r="D19">
        <f t="shared" si="3"/>
        <v>823.2</v>
      </c>
      <c r="E19">
        <f t="shared" si="3"/>
        <v>513366</v>
      </c>
      <c r="F19" s="3">
        <f t="shared" si="3"/>
        <v>54496.600000000006</v>
      </c>
      <c r="G19" s="3">
        <f>SUM(G13:G18)</f>
        <v>34105732.425078131</v>
      </c>
      <c r="H19" s="4">
        <f t="shared" si="3"/>
        <v>8660828361639.877</v>
      </c>
    </row>
    <row r="20" spans="1:8" x14ac:dyDescent="0.2">
      <c r="G20" s="3">
        <f>G19^0.5</f>
        <v>5840.0113377525331</v>
      </c>
      <c r="H20" s="1">
        <f>G19^2/H19</f>
        <v>134.30597347974467</v>
      </c>
    </row>
    <row r="22" spans="1:8" x14ac:dyDescent="0.2">
      <c r="B22" t="s">
        <v>3</v>
      </c>
    </row>
    <row r="23" spans="1:8" x14ac:dyDescent="0.2">
      <c r="A23" s="6" t="s">
        <v>12</v>
      </c>
      <c r="B23">
        <f>F19+G20*1.98</f>
        <v>66059.822448750027</v>
      </c>
    </row>
    <row r="24" spans="1:8" x14ac:dyDescent="0.2">
      <c r="A24" s="6" t="s">
        <v>13</v>
      </c>
      <c r="B24">
        <f>F19-G20*1.98</f>
        <v>42933.377551249992</v>
      </c>
    </row>
  </sheetData>
  <printOptions gridLines="1" gridLinesSet="0"/>
  <pageMargins left="0.78740157499999996" right="0.78740157499999996" top="0.984251969" bottom="0.984251969" header="0.4921259845" footer="0.4921259845"/>
  <pageSetup paperSize="0" scale="0" orientation="portrait" horizontalDpi="0" verticalDpi="0" copies="0"/>
  <headerFooter alignWithMargins="0">
    <oddHeader>&amp;F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Karibous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2023-05-17T10:07:36Z</dcterms:created>
  <dcterms:modified xsi:type="dcterms:W3CDTF">2025-10-19T19:27:54Z</dcterms:modified>
</cp:coreProperties>
</file>