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6B465A29-F65C-3646-A011-25A986D826E5}" xr6:coauthVersionLast="47" xr6:coauthVersionMax="47" xr10:uidLastSave="{00000000-0000-0000-0000-000000000000}"/>
  <bookViews>
    <workbookView xWindow="4560" yWindow="6280" windowWidth="16100" windowHeight="9720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  <sheet name="Tabelle5" sheetId="5" r:id="rId5"/>
    <sheet name="Tabelle6" sheetId="6" r:id="rId6"/>
    <sheet name="Tabelle7" sheetId="7" r:id="rId7"/>
    <sheet name="Tabelle8" sheetId="8" r:id="rId8"/>
    <sheet name="Tabelle9" sheetId="9" r:id="rId9"/>
    <sheet name="Tabelle10" sheetId="10" r:id="rId10"/>
    <sheet name="Tabelle11" sheetId="11" r:id="rId11"/>
    <sheet name="Tabelle12" sheetId="12" r:id="rId12"/>
    <sheet name="Tabelle13" sheetId="13" r:id="rId13"/>
    <sheet name="Tabelle14" sheetId="14" r:id="rId14"/>
    <sheet name="Tabelle15" sheetId="15" r:id="rId15"/>
    <sheet name="Tabelle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7" i="1" s="1"/>
  <c r="H20" i="1"/>
  <c r="G20" i="1"/>
  <c r="E20" i="1"/>
  <c r="B20" i="1"/>
  <c r="D20" i="1"/>
  <c r="A20" i="1"/>
  <c r="T16" i="1"/>
  <c r="B26" i="1" l="1"/>
  <c r="B29" i="1" l="1"/>
  <c r="B31" i="1" s="1"/>
  <c r="B28" i="1"/>
  <c r="B30" i="1" l="1"/>
</calcChain>
</file>

<file path=xl/sharedStrings.xml><?xml version="1.0" encoding="utf-8"?>
<sst xmlns="http://schemas.openxmlformats.org/spreadsheetml/2006/main" count="44" uniqueCount="37">
  <si>
    <t>A</t>
  </si>
  <si>
    <t>N</t>
  </si>
  <si>
    <t>Var</t>
  </si>
  <si>
    <t>C</t>
  </si>
  <si>
    <t>tf2</t>
  </si>
  <si>
    <t>3f3</t>
  </si>
  <si>
    <t>3f1f3</t>
  </si>
  <si>
    <t>2f2^2</t>
  </si>
  <si>
    <t>i</t>
  </si>
  <si>
    <t>fi</t>
  </si>
  <si>
    <t>M19</t>
  </si>
  <si>
    <t>Anzahl der i-mal gefangenen Tiere</t>
  </si>
  <si>
    <t>Anzahl der insgesamt markierten Individuen</t>
  </si>
  <si>
    <t>Testparameter</t>
  </si>
  <si>
    <t>2tf2</t>
  </si>
  <si>
    <t>tf</t>
  </si>
  <si>
    <t>tf1 &gt; 2tf2</t>
  </si>
  <si>
    <t>tf2 &gt; 3f3</t>
  </si>
  <si>
    <t>Alle Bedingungen sind erfüllt</t>
  </si>
  <si>
    <t>Wenn nicht, dann ist A=1</t>
  </si>
  <si>
    <t>Schätzwerte mit Zwischenschritten</t>
  </si>
  <si>
    <t>gerundete Werte</t>
  </si>
  <si>
    <t>geschätzte Populationsgröße</t>
  </si>
  <si>
    <t>Chao-C</t>
  </si>
  <si>
    <t>95%-CI-oben</t>
  </si>
  <si>
    <t>Fangstatistiken</t>
  </si>
  <si>
    <t>Tab. 10.3 Beispiel 10.7 Schätzung der Populationsgröße von Florida-Waldkaninchen mit dem Moment Estimator</t>
  </si>
  <si>
    <t>Datenquelle</t>
  </si>
  <si>
    <t>Edwards, W.R., Eberhardt, L. (1967): Estimating cottontail abundance from livetrapping data. – The Journal of Wildlife Management 31: 87–96</t>
  </si>
  <si>
    <t>Parameterdefinitionen</t>
  </si>
  <si>
    <t>Zwischenschritt für die Schätzung der Populationsgröße und deren Varianz</t>
  </si>
  <si>
    <t>s.e.</t>
  </si>
  <si>
    <t>Standardfehler</t>
  </si>
  <si>
    <t>Chao-Wert für die Schätzung des Vertrauensintervalls</t>
  </si>
  <si>
    <t>95%-CI-unten</t>
  </si>
  <si>
    <t>Wert der unteren Grenze des 95%-Vertrauensintervalls</t>
  </si>
  <si>
    <t>Wert der oberen Grenze des 95%-Vertrauensintervalls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</si>
</sst>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Geneva"/>
    </font>
    <font>
      <sz val="10"/>
      <name val="Geneva"/>
      <family val="2"/>
    </font>
    <font>
      <b/>
      <sz val="10"/>
      <name val="Geneva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19</xdr:row>
      <xdr:rowOff>0</xdr:rowOff>
    </xdr:from>
    <xdr:to>
      <xdr:col>8</xdr:col>
      <xdr:colOff>723900</xdr:colOff>
      <xdr:row>19</xdr:row>
      <xdr:rowOff>165100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3669C97-7428-B543-BA08-152FF6984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133600"/>
          <a:ext cx="723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topLeftCell="A26" workbookViewId="0">
      <selection activeCell="B13" sqref="B13"/>
    </sheetView>
  </sheetViews>
  <sheetFormatPr baseColWidth="10" defaultRowHeight="14" x14ac:dyDescent="0.2"/>
  <cols>
    <col min="2" max="2" width="16.85546875" customWidth="1"/>
  </cols>
  <sheetData>
    <row r="1" spans="1:20" x14ac:dyDescent="0.2">
      <c r="A1" s="2" t="s">
        <v>26</v>
      </c>
    </row>
    <row r="2" spans="1:20" ht="16" x14ac:dyDescent="0.2">
      <c r="A2" s="1" t="s">
        <v>27</v>
      </c>
      <c r="B2" s="3" t="s">
        <v>28</v>
      </c>
    </row>
    <row r="3" spans="1:20" x14ac:dyDescent="0.2">
      <c r="A3" s="2"/>
    </row>
    <row r="4" spans="1:20" x14ac:dyDescent="0.2">
      <c r="A4" s="2" t="s">
        <v>29</v>
      </c>
    </row>
    <row r="5" spans="1:20" x14ac:dyDescent="0.2">
      <c r="A5" s="2" t="s">
        <v>0</v>
      </c>
      <c r="B5" s="1" t="s">
        <v>30</v>
      </c>
    </row>
    <row r="6" spans="1:20" x14ac:dyDescent="0.2">
      <c r="A6" s="1" t="s">
        <v>9</v>
      </c>
      <c r="B6" s="1" t="s">
        <v>11</v>
      </c>
    </row>
    <row r="7" spans="1:20" x14ac:dyDescent="0.2">
      <c r="A7" s="1" t="s">
        <v>10</v>
      </c>
      <c r="B7" s="1" t="s">
        <v>12</v>
      </c>
    </row>
    <row r="8" spans="1:20" x14ac:dyDescent="0.2">
      <c r="A8" s="1" t="s">
        <v>1</v>
      </c>
      <c r="B8" s="1" t="s">
        <v>22</v>
      </c>
    </row>
    <row r="9" spans="1:20" x14ac:dyDescent="0.2">
      <c r="A9" s="1" t="s">
        <v>31</v>
      </c>
      <c r="B9" s="1" t="s">
        <v>32</v>
      </c>
    </row>
    <row r="10" spans="1:20" x14ac:dyDescent="0.2">
      <c r="A10" s="1" t="s">
        <v>23</v>
      </c>
      <c r="B10" s="1" t="s">
        <v>33</v>
      </c>
    </row>
    <row r="11" spans="1:20" x14ac:dyDescent="0.2">
      <c r="A11" s="1" t="s">
        <v>34</v>
      </c>
      <c r="B11" s="1" t="s">
        <v>35</v>
      </c>
    </row>
    <row r="12" spans="1:20" x14ac:dyDescent="0.2">
      <c r="A12" s="1" t="s">
        <v>24</v>
      </c>
      <c r="B12" s="1" t="s">
        <v>36</v>
      </c>
    </row>
    <row r="13" spans="1:20" x14ac:dyDescent="0.2">
      <c r="A13" s="1"/>
      <c r="B13" s="1"/>
    </row>
    <row r="14" spans="1:20" x14ac:dyDescent="0.2">
      <c r="A14" s="2" t="s">
        <v>25</v>
      </c>
    </row>
    <row r="15" spans="1:20" x14ac:dyDescent="0.2">
      <c r="A15" s="1" t="s">
        <v>8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v>7</v>
      </c>
      <c r="I15">
        <v>8</v>
      </c>
      <c r="J15">
        <v>9</v>
      </c>
      <c r="K15">
        <v>10</v>
      </c>
      <c r="L15">
        <v>11</v>
      </c>
      <c r="M15">
        <v>12</v>
      </c>
      <c r="N15">
        <v>13</v>
      </c>
      <c r="O15">
        <v>14</v>
      </c>
      <c r="P15">
        <v>15</v>
      </c>
      <c r="Q15">
        <v>16</v>
      </c>
      <c r="R15">
        <v>17</v>
      </c>
      <c r="S15">
        <v>18</v>
      </c>
      <c r="T15" s="1" t="s">
        <v>10</v>
      </c>
    </row>
    <row r="16" spans="1:20" x14ac:dyDescent="0.2">
      <c r="A16" s="1" t="s">
        <v>9</v>
      </c>
      <c r="B16">
        <v>43</v>
      </c>
      <c r="C16">
        <v>16</v>
      </c>
      <c r="D16">
        <v>8</v>
      </c>
      <c r="E16">
        <v>6</v>
      </c>
      <c r="F16">
        <v>0</v>
      </c>
      <c r="G16">
        <v>2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f>SUM(A16:S16)</f>
        <v>76</v>
      </c>
    </row>
    <row r="18" spans="1:8" x14ac:dyDescent="0.2">
      <c r="A18" s="2" t="s">
        <v>13</v>
      </c>
    </row>
    <row r="19" spans="1:8" x14ac:dyDescent="0.2">
      <c r="A19" s="1" t="s">
        <v>15</v>
      </c>
      <c r="B19" s="1" t="s">
        <v>14</v>
      </c>
      <c r="C19" s="1"/>
      <c r="D19" t="s">
        <v>4</v>
      </c>
      <c r="E19" t="s">
        <v>5</v>
      </c>
      <c r="G19" s="1" t="s">
        <v>6</v>
      </c>
      <c r="H19" t="s">
        <v>7</v>
      </c>
    </row>
    <row r="20" spans="1:8" x14ac:dyDescent="0.2">
      <c r="A20">
        <f>S15*B16</f>
        <v>774</v>
      </c>
      <c r="B20">
        <f>2*C16*S15</f>
        <v>576</v>
      </c>
      <c r="C20" s="1" t="s">
        <v>16</v>
      </c>
      <c r="D20">
        <f>S15*C16</f>
        <v>288</v>
      </c>
      <c r="E20">
        <f>3*D16</f>
        <v>24</v>
      </c>
      <c r="F20" s="1" t="s">
        <v>17</v>
      </c>
      <c r="G20">
        <f>3*B16*D16</f>
        <v>1032</v>
      </c>
      <c r="H20">
        <f>2*C16^2</f>
        <v>512</v>
      </c>
    </row>
    <row r="21" spans="1:8" x14ac:dyDescent="0.2">
      <c r="A21" s="1" t="s">
        <v>18</v>
      </c>
      <c r="C21" s="1"/>
    </row>
    <row r="22" spans="1:8" x14ac:dyDescent="0.2">
      <c r="A22" s="1" t="s">
        <v>19</v>
      </c>
      <c r="C22" s="1"/>
    </row>
    <row r="24" spans="1:8" x14ac:dyDescent="0.2">
      <c r="A24" s="2" t="s">
        <v>20</v>
      </c>
      <c r="C24" s="1" t="s">
        <v>21</v>
      </c>
    </row>
    <row r="25" spans="1:8" x14ac:dyDescent="0.2">
      <c r="A25" t="s">
        <v>0</v>
      </c>
      <c r="B25">
        <f>(1-2*C16/(S15*B16))/(1-3*D16/(S15*C16))</f>
        <v>1.0458069062720226</v>
      </c>
      <c r="C25">
        <v>1.046</v>
      </c>
    </row>
    <row r="26" spans="1:8" x14ac:dyDescent="0.2">
      <c r="A26" t="s">
        <v>1</v>
      </c>
      <c r="B26">
        <f>T16+B25*B16^2/(2*C16)</f>
        <v>136.42803030303031</v>
      </c>
      <c r="C26">
        <v>136</v>
      </c>
    </row>
    <row r="27" spans="1:8" x14ac:dyDescent="0.2">
      <c r="A27" t="s">
        <v>2</v>
      </c>
      <c r="B27">
        <f>C16*(0.25*B25^2*(B16/C16)^4+B25^2*(B16/C16)^3+0.5*B25*(B16/C16)^2)</f>
        <v>628.32848459739444</v>
      </c>
      <c r="C27">
        <v>628</v>
      </c>
    </row>
    <row r="28" spans="1:8" x14ac:dyDescent="0.2">
      <c r="A28" s="1" t="s">
        <v>31</v>
      </c>
      <c r="B28">
        <f>B27^0.5</f>
        <v>25.066481296691691</v>
      </c>
      <c r="C28">
        <v>25</v>
      </c>
    </row>
    <row r="29" spans="1:8" x14ac:dyDescent="0.2">
      <c r="A29" t="s">
        <v>3</v>
      </c>
      <c r="B29">
        <f>EXP(1.96*(LN(1+B27/(B26-T16)^2))^0.5)</f>
        <v>2.1836288171576039</v>
      </c>
      <c r="C29">
        <v>2.2000000000000002</v>
      </c>
    </row>
    <row r="30" spans="1:8" x14ac:dyDescent="0.2">
      <c r="A30" s="1" t="s">
        <v>34</v>
      </c>
      <c r="B30">
        <f>T16+(B26-T16)/B29</f>
        <v>103.67321525903316</v>
      </c>
      <c r="C30">
        <v>103</v>
      </c>
    </row>
    <row r="31" spans="1:8" x14ac:dyDescent="0.2">
      <c r="A31" s="1" t="s">
        <v>24</v>
      </c>
      <c r="B31">
        <f>T16+(B26-T16)*B29</f>
        <v>207.95238833376993</v>
      </c>
      <c r="C31">
        <v>208</v>
      </c>
    </row>
  </sheetData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Tabelle10</vt:lpstr>
      <vt:lpstr>Tabelle11</vt:lpstr>
      <vt:lpstr>Tabelle12</vt:lpstr>
      <vt:lpstr>Tabelle13</vt:lpstr>
      <vt:lpstr>Tabelle14</vt:lpstr>
      <vt:lpstr>Tabelle15</vt:lpstr>
      <vt:lpstr>Tabelle16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UFZ</dc:creator>
  <cp:keywords/>
  <dc:description/>
  <cp:lastModifiedBy>Microsoft Office User</cp:lastModifiedBy>
  <dcterms:created xsi:type="dcterms:W3CDTF">2021-06-14T16:42:54Z</dcterms:created>
  <dcterms:modified xsi:type="dcterms:W3CDTF">2025-10-25T14:08:39Z</dcterms:modified>
</cp:coreProperties>
</file>