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Gecko\Projects\Misc\Methodenbuch\Beispiele\final\Exceldateien\"/>
    </mc:Choice>
  </mc:AlternateContent>
  <xr:revisionPtr revIDLastSave="0" documentId="13_ncr:1_{936441F5-CFDE-4097-8091-BE6C1AF1A241}" xr6:coauthVersionLast="47" xr6:coauthVersionMax="47" xr10:uidLastSave="{00000000-0000-0000-0000-000000000000}"/>
  <bookViews>
    <workbookView xWindow="38280" yWindow="-120" windowWidth="38640" windowHeight="21120" tabRatio="500" xr2:uid="{00000000-000D-0000-FFFF-FFFF00000000}"/>
  </bookViews>
  <sheets>
    <sheet name="Mb-ohneemig-Jolly-Seber" sheetId="1" r:id="rId1"/>
  </sheets>
  <definedNames>
    <definedName name="_xlnm.Print_Area" localSheetId="0">'Mb-ohneemig-Jolly-Seber'!$A$46:$N$56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6" i="1" l="1"/>
  <c r="G102" i="1"/>
  <c r="F102" i="1"/>
  <c r="E102" i="1"/>
  <c r="D102" i="1"/>
  <c r="C102" i="1"/>
  <c r="B102" i="1"/>
  <c r="B99" i="1"/>
  <c r="B87" i="1"/>
  <c r="I85" i="1"/>
  <c r="J72" i="1"/>
  <c r="J73" i="1" s="1"/>
  <c r="J74" i="1" s="1"/>
  <c r="J75" i="1" s="1"/>
  <c r="J76" i="1" s="1"/>
  <c r="J77" i="1" s="1"/>
  <c r="I72" i="1"/>
  <c r="I73" i="1" s="1"/>
  <c r="I74" i="1" s="1"/>
  <c r="I75" i="1" s="1"/>
  <c r="I76" i="1" s="1"/>
  <c r="H72" i="1"/>
  <c r="H73" i="1" s="1"/>
  <c r="H74" i="1" s="1"/>
  <c r="H75" i="1" s="1"/>
  <c r="G72" i="1"/>
  <c r="G73" i="1" s="1"/>
  <c r="G74" i="1" s="1"/>
  <c r="G75" i="1" s="1"/>
  <c r="F72" i="1"/>
  <c r="F73" i="1" s="1"/>
  <c r="E72" i="1"/>
  <c r="E73" i="1" s="1"/>
  <c r="D72" i="1"/>
  <c r="J69" i="1"/>
  <c r="I87" i="1" s="1"/>
  <c r="I69" i="1"/>
  <c r="H87" i="1" s="1"/>
  <c r="H69" i="1"/>
  <c r="G87" i="1" s="1"/>
  <c r="G69" i="1"/>
  <c r="F87" i="1" s="1"/>
  <c r="F69" i="1"/>
  <c r="E87" i="1" s="1"/>
  <c r="E69" i="1"/>
  <c r="D87" i="1" s="1"/>
  <c r="D69" i="1"/>
  <c r="C87" i="1" s="1"/>
  <c r="K68" i="1"/>
  <c r="H85" i="1" s="1"/>
  <c r="K67" i="1"/>
  <c r="G85" i="1" s="1"/>
  <c r="K66" i="1"/>
  <c r="F85" i="1" s="1"/>
  <c r="K65" i="1"/>
  <c r="E85" i="1" s="1"/>
  <c r="K64" i="1"/>
  <c r="D85" i="1" s="1"/>
  <c r="K63" i="1"/>
  <c r="C85" i="1" s="1"/>
  <c r="K62" i="1"/>
  <c r="B85" i="1" s="1"/>
  <c r="I49" i="1"/>
  <c r="B51" i="1"/>
  <c r="I36" i="1"/>
  <c r="I37" i="1" s="1"/>
  <c r="I38" i="1" s="1"/>
  <c r="I39" i="1" s="1"/>
  <c r="I40" i="1" s="1"/>
  <c r="I41" i="1" s="1"/>
  <c r="J36" i="1"/>
  <c r="J37" i="1" s="1"/>
  <c r="J38" i="1" s="1"/>
  <c r="J39" i="1" s="1"/>
  <c r="J40" i="1" s="1"/>
  <c r="J41" i="1" s="1"/>
  <c r="K41" i="1" s="1"/>
  <c r="H52" i="1" s="1"/>
  <c r="D36" i="1"/>
  <c r="E36" i="1"/>
  <c r="F36" i="1"/>
  <c r="F37" i="1" s="1"/>
  <c r="F38" i="1" s="1"/>
  <c r="G36" i="1"/>
  <c r="G37" i="1" s="1"/>
  <c r="G38" i="1" s="1"/>
  <c r="G39" i="1" s="1"/>
  <c r="H36" i="1"/>
  <c r="H37" i="1" s="1"/>
  <c r="H38" i="1" s="1"/>
  <c r="H39" i="1" s="1"/>
  <c r="H40" i="1" s="1"/>
  <c r="E33" i="1"/>
  <c r="D51" i="1" s="1"/>
  <c r="F33" i="1"/>
  <c r="E51" i="1" s="1"/>
  <c r="G33" i="1"/>
  <c r="F51" i="1" s="1"/>
  <c r="H33" i="1"/>
  <c r="G51" i="1" s="1"/>
  <c r="I33" i="1"/>
  <c r="H51" i="1" s="1"/>
  <c r="J33" i="1"/>
  <c r="I51" i="1" s="1"/>
  <c r="D33" i="1"/>
  <c r="C51" i="1" s="1"/>
  <c r="K27" i="1"/>
  <c r="C49" i="1" s="1"/>
  <c r="K28" i="1"/>
  <c r="D49" i="1" s="1"/>
  <c r="K29" i="1"/>
  <c r="E49" i="1" s="1"/>
  <c r="K30" i="1"/>
  <c r="F49" i="1" s="1"/>
  <c r="K31" i="1"/>
  <c r="G49" i="1" s="1"/>
  <c r="K32" i="1"/>
  <c r="H49" i="1" s="1"/>
  <c r="K26" i="1"/>
  <c r="B49" i="1" s="1"/>
  <c r="K76" i="1" l="1"/>
  <c r="G88" i="1" s="1"/>
  <c r="I77" i="1"/>
  <c r="K72" i="1"/>
  <c r="C88" i="1" s="1"/>
  <c r="K73" i="1"/>
  <c r="D88" i="1" s="1"/>
  <c r="F74" i="1"/>
  <c r="D86" i="1"/>
  <c r="H76" i="1"/>
  <c r="K75" i="1"/>
  <c r="F88" i="1" s="1"/>
  <c r="F86" i="1" s="1"/>
  <c r="G86" i="1"/>
  <c r="K77" i="1"/>
  <c r="H88" i="1" s="1"/>
  <c r="H86" i="1" s="1"/>
  <c r="J78" i="1"/>
  <c r="C86" i="1"/>
  <c r="B90" i="1" s="1"/>
  <c r="K74" i="1"/>
  <c r="E88" i="1" s="1"/>
  <c r="E86" i="1" s="1"/>
  <c r="H50" i="1"/>
  <c r="K40" i="1"/>
  <c r="G52" i="1" s="1"/>
  <c r="G50" i="1" s="1"/>
  <c r="K36" i="1"/>
  <c r="C52" i="1" s="1"/>
  <c r="C50" i="1" s="1"/>
  <c r="B54" i="1" s="1"/>
  <c r="B100" i="1" s="1"/>
  <c r="B101" i="1" s="1"/>
  <c r="E37" i="1"/>
  <c r="J42" i="1"/>
  <c r="K39" i="1"/>
  <c r="F52" i="1" s="1"/>
  <c r="F50" i="1" s="1"/>
  <c r="K38" i="1"/>
  <c r="E52" i="1" s="1"/>
  <c r="E50" i="1" s="1"/>
  <c r="K37" i="1"/>
  <c r="D52" i="1" s="1"/>
  <c r="D50" i="1" s="1"/>
  <c r="B55" i="1" l="1"/>
  <c r="E90" i="1"/>
  <c r="E91" i="1" s="1"/>
  <c r="G90" i="1"/>
  <c r="D90" i="1"/>
  <c r="D92" i="1" s="1"/>
  <c r="G92" i="1"/>
  <c r="G91" i="1"/>
  <c r="E92" i="1"/>
  <c r="F90" i="1"/>
  <c r="B91" i="1"/>
  <c r="B92" i="1"/>
  <c r="C90" i="1"/>
  <c r="E54" i="1"/>
  <c r="C54" i="1"/>
  <c r="F54" i="1"/>
  <c r="D54" i="1"/>
  <c r="G54" i="1"/>
  <c r="C55" i="1" l="1"/>
  <c r="C100" i="1"/>
  <c r="C101" i="1" s="1"/>
  <c r="E55" i="1"/>
  <c r="E100" i="1"/>
  <c r="E101" i="1" s="1"/>
  <c r="D91" i="1"/>
  <c r="G55" i="1"/>
  <c r="G100" i="1"/>
  <c r="G101" i="1" s="1"/>
  <c r="D55" i="1"/>
  <c r="D100" i="1"/>
  <c r="D101" i="1" s="1"/>
  <c r="B107" i="1"/>
  <c r="F55" i="1"/>
  <c r="F100" i="1"/>
  <c r="F101" i="1" s="1"/>
  <c r="F56" i="1"/>
  <c r="F92" i="1"/>
  <c r="F91" i="1"/>
  <c r="C91" i="1"/>
  <c r="C92" i="1"/>
  <c r="G56" i="1"/>
  <c r="D56" i="1"/>
  <c r="E56" i="1"/>
  <c r="B56" i="1"/>
  <c r="C56" i="1"/>
</calcChain>
</file>

<file path=xl/sharedStrings.xml><?xml version="1.0" encoding="utf-8"?>
<sst xmlns="http://schemas.openxmlformats.org/spreadsheetml/2006/main" count="97" uniqueCount="60">
  <si>
    <t>n</t>
  </si>
  <si>
    <t>R</t>
  </si>
  <si>
    <t>r</t>
  </si>
  <si>
    <t>M</t>
  </si>
  <si>
    <t>m</t>
  </si>
  <si>
    <t>Z</t>
  </si>
  <si>
    <t>sdp (full)</t>
  </si>
  <si>
    <t>q</t>
  </si>
  <si>
    <t>Parameterdefinitionen</t>
  </si>
  <si>
    <t>i und j</t>
  </si>
  <si>
    <t>Fanggelegenheit</t>
  </si>
  <si>
    <t>ni</t>
  </si>
  <si>
    <t>Ri</t>
  </si>
  <si>
    <t>rj</t>
  </si>
  <si>
    <r>
      <t xml:space="preserve">Anzahl Individuen von </t>
    </r>
    <r>
      <rPr>
        <i/>
        <sz val="11"/>
        <color theme="1"/>
        <rFont val="Calibri"/>
        <family val="2"/>
        <scheme val="minor"/>
      </rPr>
      <t>R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, die zum Zeitpunkt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freigelassen und bei einem späteren Fangtermin wiedergefangen wurden</t>
    </r>
  </si>
  <si>
    <t>mi</t>
  </si>
  <si>
    <t>Mi</t>
  </si>
  <si>
    <r>
      <t xml:space="preserve">Anzahl markierter Tiere, die sich zum Zeitpunkt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in der Population befinden</t>
    </r>
  </si>
  <si>
    <t>Ni</t>
  </si>
  <si>
    <t>Populationsgröße</t>
  </si>
  <si>
    <t>pi</t>
  </si>
  <si>
    <t>Fangwahrscheinlichkeit bei Fanggelegenheit i</t>
  </si>
  <si>
    <t>zi</t>
  </si>
  <si>
    <r>
      <rPr>
        <sz val="11"/>
        <color theme="1"/>
        <rFont val="Calibri"/>
        <family val="2"/>
        <scheme val="minor"/>
      </rPr>
      <t xml:space="preserve">Anzahl Tiere, die vor der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markiert und bei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nicht, jedoch bei einer späteren Fanggelegenheit wiedergefangen wurden. Die blauen Werte werden bei der Summe ignoriert.</t>
    </r>
  </si>
  <si>
    <t>Datenquelle</t>
  </si>
  <si>
    <r>
      <rPr>
        <sz val="12"/>
        <color theme="1"/>
        <rFont val="Symbol"/>
        <charset val="2"/>
      </rPr>
      <t>f</t>
    </r>
    <r>
      <rPr>
        <sz val="10"/>
        <rFont val="Geneva"/>
        <family val="2"/>
      </rPr>
      <t>i</t>
    </r>
  </si>
  <si>
    <r>
      <t xml:space="preserve">Tatsächliche Überlebenswahrscheinlichkeit aller Tiere zwischen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und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</t>
    </r>
  </si>
  <si>
    <r>
      <rPr>
        <sz val="10"/>
        <rFont val="Symbol"/>
        <charset val="2"/>
      </rPr>
      <t>e</t>
    </r>
    <r>
      <rPr>
        <sz val="10"/>
        <rFont val="Geneva"/>
        <family val="2"/>
      </rPr>
      <t>t</t>
    </r>
  </si>
  <si>
    <r>
      <rPr>
        <sz val="10"/>
        <rFont val="Symbol"/>
        <charset val="2"/>
      </rPr>
      <t>e</t>
    </r>
    <r>
      <rPr>
        <sz val="10"/>
        <rFont val="Geneva"/>
        <family val="2"/>
      </rPr>
      <t>g</t>
    </r>
  </si>
  <si>
    <t>Emigrationsrate aus Teilflächen</t>
  </si>
  <si>
    <t>Emigrationsrate aus der Gesamtfläche</t>
  </si>
  <si>
    <r>
      <t>y</t>
    </r>
    <r>
      <rPr>
        <sz val="10"/>
        <rFont val="Geneva"/>
        <family val="2"/>
      </rPr>
      <t>G</t>
    </r>
  </si>
  <si>
    <t>Scheinbare Überlebensrate berechnet für die Gesamtfläche</t>
  </si>
  <si>
    <t>yT</t>
  </si>
  <si>
    <t>Scheinbare Überlebensrate berechnet für die Teilflächen</t>
  </si>
  <si>
    <t>Tatsächliche Mortalitätsrate</t>
  </si>
  <si>
    <t>Fangstatistiken</t>
  </si>
  <si>
    <t>Gesamtfläche</t>
  </si>
  <si>
    <t>i</t>
  </si>
  <si>
    <t>j</t>
  </si>
  <si>
    <t>Zi+1</t>
  </si>
  <si>
    <t>Analyse der scheinbaren Überlebensrate</t>
  </si>
  <si>
    <t>–</t>
  </si>
  <si>
    <r>
      <rPr>
        <sz val="12"/>
        <rFont val="Symbol"/>
        <charset val="2"/>
      </rPr>
      <t>y</t>
    </r>
    <r>
      <rPr>
        <sz val="10"/>
        <rFont val="Geneva"/>
        <family val="2"/>
      </rPr>
      <t>G</t>
    </r>
  </si>
  <si>
    <t>Anzahl bei Fanggelegenheit i gefangener Skinke</t>
  </si>
  <si>
    <t>Anzahl bei Fanggelegenheit i freigelassener Skinke</t>
  </si>
  <si>
    <r>
      <t xml:space="preserve">Anzahl markierter Individuen, die bei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wiedergefangen wurden</t>
    </r>
  </si>
  <si>
    <t>Teilflächen</t>
  </si>
  <si>
    <t>Tab. 11.18 Beispiel 11.8 Trennung von Emigration und Mortalität einer Population des Skinks Morethia boulengeri</t>
  </si>
  <si>
    <t>Analyse der tasächlichen Mortalität und der Emigrtionsrate aus der gesamten Untersuchungsfläche</t>
  </si>
  <si>
    <t>f</t>
  </si>
  <si>
    <t>Hierfür muss zunächst die gesamte Länge der Seiten der Teilflächen durch die gesamten Länge der Seiten des gesamten Untersuchungsgebietes geteilt werden (wird im Buch als x bezeichnet)</t>
  </si>
  <si>
    <t>x</t>
  </si>
  <si>
    <t>Gesamtlänge der Seiten der Teilflächen dividiert durch die Gesamtlänge der Seiten des gesamten Untersuchungsfläche</t>
  </si>
  <si>
    <t>Gesamtflächen</t>
  </si>
  <si>
    <t>Scheinbare Mortalität November 86 - März 87</t>
  </si>
  <si>
    <t>Eigene unveröffentlichte Daten</t>
  </si>
  <si>
    <t>In unserem Fallbeispiel muss dabei die Länge der an eine Straße angrenzenden Seiten berücksichtigt werden, die eine Barriere bildet</t>
  </si>
  <si>
    <t>Damit ergibt sich für x=180/130</t>
  </si>
  <si>
    <r>
      <t>s.e. (</t>
    </r>
    <r>
      <rPr>
        <sz val="10"/>
        <rFont val="Symbol"/>
        <charset val="2"/>
      </rPr>
      <t>y</t>
    </r>
    <r>
      <rPr>
        <sz val="10"/>
        <rFont val="Geneva"/>
        <family val="2"/>
      </rPr>
      <t>T) - Erfassung +Überlebensprozess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</si>
</sst>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7]mmmm\ yy;@"/>
  </numFmts>
  <fonts count="1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2"/>
      <color theme="1"/>
      <name val="Symbol"/>
      <charset val="2"/>
    </font>
    <font>
      <sz val="12"/>
      <color theme="1"/>
      <name val="Calibri"/>
      <family val="2"/>
      <charset val="2"/>
    </font>
    <font>
      <sz val="10"/>
      <name val="Geneva"/>
      <family val="2"/>
    </font>
    <font>
      <sz val="10"/>
      <name val="Symbol"/>
      <charset val="2"/>
    </font>
    <font>
      <sz val="10"/>
      <name val="Geneva"/>
      <family val="2"/>
      <charset val="2"/>
    </font>
    <font>
      <sz val="10"/>
      <color rgb="FF0070C0"/>
      <name val="Geneva"/>
      <family val="2"/>
    </font>
    <font>
      <sz val="12"/>
      <name val="Symbol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2" fontId="0" fillId="0" borderId="0" xfId="0" applyNumberFormat="1" applyProtection="1">
      <protection locked="0"/>
    </xf>
    <xf numFmtId="164" fontId="0" fillId="0" borderId="0" xfId="0" applyNumberFormat="1"/>
    <xf numFmtId="17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Protection="1">
      <protection locked="0"/>
    </xf>
    <xf numFmtId="0" fontId="8" fillId="0" borderId="0" xfId="0" applyFont="1"/>
    <xf numFmtId="0" fontId="10" fillId="0" borderId="0" xfId="0" applyFont="1"/>
    <xf numFmtId="0" fontId="9" fillId="0" borderId="0" xfId="0" applyFont="1"/>
    <xf numFmtId="165" fontId="0" fillId="0" borderId="0" xfId="0" applyNumberFormat="1"/>
    <xf numFmtId="0" fontId="11" fillId="0" borderId="0" xfId="0" applyFont="1"/>
    <xf numFmtId="164" fontId="8" fillId="0" borderId="0" xfId="0" applyNumberFormat="1" applyFont="1"/>
    <xf numFmtId="2" fontId="8" fillId="0" borderId="0" xfId="0" applyNumberFormat="1" applyFont="1" applyProtection="1">
      <protection locked="0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"/>
  <sheetViews>
    <sheetView tabSelected="1" topLeftCell="A62" zoomScale="99" workbookViewId="0">
      <selection activeCell="B106" sqref="B106"/>
    </sheetView>
  </sheetViews>
  <sheetFormatPr defaultColWidth="10.90625" defaultRowHeight="12.5"/>
  <cols>
    <col min="1" max="1" width="11" bestFit="1" customWidth="1"/>
    <col min="4" max="6" width="10.81640625" bestFit="1" customWidth="1"/>
    <col min="7" max="7" width="11" bestFit="1" customWidth="1"/>
    <col min="8" max="11" width="10.81640625" bestFit="1" customWidth="1"/>
  </cols>
  <sheetData>
    <row r="1" spans="1:2" ht="13">
      <c r="A1" s="6" t="s">
        <v>48</v>
      </c>
    </row>
    <row r="2" spans="1:2">
      <c r="A2" s="10" t="s">
        <v>24</v>
      </c>
      <c r="B2" s="10" t="s">
        <v>56</v>
      </c>
    </row>
    <row r="4" spans="1:2" ht="13">
      <c r="A4" s="6" t="s">
        <v>8</v>
      </c>
    </row>
    <row r="5" spans="1:2">
      <c r="A5" t="s">
        <v>9</v>
      </c>
      <c r="B5" t="s">
        <v>10</v>
      </c>
    </row>
    <row r="6" spans="1:2">
      <c r="A6" t="s">
        <v>11</v>
      </c>
      <c r="B6" s="10" t="s">
        <v>44</v>
      </c>
    </row>
    <row r="7" spans="1:2">
      <c r="A7" t="s">
        <v>12</v>
      </c>
      <c r="B7" s="10" t="s">
        <v>45</v>
      </c>
    </row>
    <row r="8" spans="1:2" ht="16.5">
      <c r="A8" t="s">
        <v>13</v>
      </c>
      <c r="B8" s="7" t="s">
        <v>14</v>
      </c>
    </row>
    <row r="9" spans="1:2" ht="14.5">
      <c r="A9" t="s">
        <v>15</v>
      </c>
      <c r="B9" s="7" t="s">
        <v>46</v>
      </c>
    </row>
    <row r="10" spans="1:2" ht="14.5">
      <c r="A10" t="s">
        <v>16</v>
      </c>
      <c r="B10" s="7" t="s">
        <v>17</v>
      </c>
    </row>
    <row r="11" spans="1:2" ht="14.5">
      <c r="A11" t="s">
        <v>18</v>
      </c>
      <c r="B11" s="7" t="s">
        <v>19</v>
      </c>
    </row>
    <row r="12" spans="1:2" ht="14.5">
      <c r="A12" t="s">
        <v>20</v>
      </c>
      <c r="B12" s="7" t="s">
        <v>21</v>
      </c>
    </row>
    <row r="13" spans="1:2" ht="14.5">
      <c r="A13" s="10" t="s">
        <v>52</v>
      </c>
      <c r="B13" s="7" t="s">
        <v>53</v>
      </c>
    </row>
    <row r="14" spans="1:2" ht="14.5">
      <c r="A14" t="s">
        <v>22</v>
      </c>
      <c r="B14" s="8" t="s">
        <v>23</v>
      </c>
    </row>
    <row r="15" spans="1:2" ht="14.5">
      <c r="A15" s="11" t="s">
        <v>27</v>
      </c>
      <c r="B15" s="7" t="s">
        <v>29</v>
      </c>
    </row>
    <row r="16" spans="1:2" ht="14.5">
      <c r="A16" s="11" t="s">
        <v>28</v>
      </c>
      <c r="B16" s="7" t="s">
        <v>30</v>
      </c>
    </row>
    <row r="17" spans="1:11" ht="15.5">
      <c r="A17" s="9" t="s">
        <v>25</v>
      </c>
      <c r="B17" s="7" t="s">
        <v>26</v>
      </c>
    </row>
    <row r="18" spans="1:11" ht="15.5">
      <c r="A18" s="9" t="s">
        <v>7</v>
      </c>
      <c r="B18" s="7" t="s">
        <v>35</v>
      </c>
    </row>
    <row r="19" spans="1:11" ht="14.5">
      <c r="A19" s="12" t="s">
        <v>33</v>
      </c>
      <c r="B19" s="7" t="s">
        <v>34</v>
      </c>
    </row>
    <row r="20" spans="1:11" ht="14.5">
      <c r="A20" s="12" t="s">
        <v>31</v>
      </c>
      <c r="B20" s="7" t="s">
        <v>32</v>
      </c>
    </row>
    <row r="22" spans="1:11" ht="13">
      <c r="A22" s="6" t="s">
        <v>36</v>
      </c>
      <c r="C22" s="10"/>
    </row>
    <row r="23" spans="1:11" ht="13">
      <c r="A23" s="6" t="s">
        <v>37</v>
      </c>
      <c r="C23" s="10"/>
    </row>
    <row r="24" spans="1:11">
      <c r="B24" s="10" t="s">
        <v>38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</row>
    <row r="25" spans="1:11">
      <c r="B25" s="10" t="s">
        <v>39</v>
      </c>
      <c r="C25" s="4">
        <v>29951</v>
      </c>
      <c r="D25" s="4">
        <v>30010</v>
      </c>
      <c r="E25" s="4">
        <v>30071</v>
      </c>
      <c r="F25" s="4">
        <v>30194</v>
      </c>
      <c r="G25" s="4">
        <v>30255</v>
      </c>
      <c r="H25" s="4">
        <v>30316</v>
      </c>
      <c r="I25" s="4">
        <v>30375</v>
      </c>
      <c r="J25" s="4">
        <v>30436</v>
      </c>
      <c r="K25" s="10" t="s">
        <v>13</v>
      </c>
    </row>
    <row r="26" spans="1:11">
      <c r="A26" s="13">
        <v>29951</v>
      </c>
      <c r="B26">
        <v>1</v>
      </c>
      <c r="D26">
        <v>6</v>
      </c>
      <c r="E26">
        <v>2</v>
      </c>
      <c r="F26">
        <v>2</v>
      </c>
      <c r="G26">
        <v>1</v>
      </c>
      <c r="H26">
        <v>0</v>
      </c>
      <c r="I26">
        <v>0</v>
      </c>
      <c r="J26">
        <v>0</v>
      </c>
      <c r="K26">
        <f>SUM(D26:J26)</f>
        <v>11</v>
      </c>
    </row>
    <row r="27" spans="1:11">
      <c r="A27" s="13">
        <v>30010</v>
      </c>
      <c r="B27">
        <v>2</v>
      </c>
      <c r="E27">
        <v>14</v>
      </c>
      <c r="F27">
        <v>2</v>
      </c>
      <c r="G27">
        <v>1</v>
      </c>
      <c r="H27">
        <v>0</v>
      </c>
      <c r="I27">
        <v>0</v>
      </c>
      <c r="J27">
        <v>0</v>
      </c>
      <c r="K27">
        <f t="shared" ref="K27:K32" si="0">SUM(D27:J27)</f>
        <v>17</v>
      </c>
    </row>
    <row r="28" spans="1:11">
      <c r="A28" s="13">
        <v>30071</v>
      </c>
      <c r="B28">
        <v>3</v>
      </c>
      <c r="F28">
        <v>17</v>
      </c>
      <c r="G28">
        <v>2</v>
      </c>
      <c r="H28">
        <v>0</v>
      </c>
      <c r="I28">
        <v>0</v>
      </c>
      <c r="J28">
        <v>0</v>
      </c>
      <c r="K28">
        <f t="shared" si="0"/>
        <v>19</v>
      </c>
    </row>
    <row r="29" spans="1:11">
      <c r="A29" s="13">
        <v>30194</v>
      </c>
      <c r="B29">
        <v>4</v>
      </c>
      <c r="G29">
        <v>6</v>
      </c>
      <c r="H29">
        <v>4</v>
      </c>
      <c r="I29">
        <v>2</v>
      </c>
      <c r="J29">
        <v>1</v>
      </c>
      <c r="K29">
        <f t="shared" si="0"/>
        <v>13</v>
      </c>
    </row>
    <row r="30" spans="1:11">
      <c r="A30" s="13">
        <v>30255</v>
      </c>
      <c r="B30">
        <v>5</v>
      </c>
      <c r="H30">
        <v>7</v>
      </c>
      <c r="I30">
        <v>1</v>
      </c>
      <c r="J30">
        <v>1</v>
      </c>
      <c r="K30">
        <f t="shared" si="0"/>
        <v>9</v>
      </c>
    </row>
    <row r="31" spans="1:11">
      <c r="A31" s="13">
        <v>30316</v>
      </c>
      <c r="B31">
        <v>6</v>
      </c>
      <c r="I31">
        <v>5</v>
      </c>
      <c r="J31">
        <v>1</v>
      </c>
      <c r="K31">
        <f t="shared" si="0"/>
        <v>6</v>
      </c>
    </row>
    <row r="32" spans="1:11">
      <c r="A32" s="13">
        <v>30375</v>
      </c>
      <c r="B32">
        <v>7</v>
      </c>
      <c r="J32">
        <v>6</v>
      </c>
      <c r="K32">
        <f t="shared" si="0"/>
        <v>6</v>
      </c>
    </row>
    <row r="33" spans="1:11">
      <c r="A33" s="13"/>
      <c r="B33" s="10" t="s">
        <v>15</v>
      </c>
      <c r="C33">
        <v>0</v>
      </c>
      <c r="D33">
        <f>SUM(D26:D32)</f>
        <v>6</v>
      </c>
      <c r="E33">
        <f t="shared" ref="E33:J33" si="1">SUM(E26:E32)</f>
        <v>16</v>
      </c>
      <c r="F33">
        <f t="shared" si="1"/>
        <v>21</v>
      </c>
      <c r="G33">
        <f t="shared" si="1"/>
        <v>10</v>
      </c>
      <c r="H33">
        <f t="shared" si="1"/>
        <v>11</v>
      </c>
      <c r="I33">
        <f t="shared" si="1"/>
        <v>8</v>
      </c>
      <c r="J33">
        <f t="shared" si="1"/>
        <v>9</v>
      </c>
    </row>
    <row r="34" spans="1:11">
      <c r="A34" s="13"/>
      <c r="B34" s="10"/>
    </row>
    <row r="35" spans="1:11">
      <c r="B35" s="10" t="s">
        <v>39</v>
      </c>
      <c r="K35" s="10" t="s">
        <v>40</v>
      </c>
    </row>
    <row r="36" spans="1:11">
      <c r="B36">
        <v>1</v>
      </c>
      <c r="D36" s="14">
        <f>D26</f>
        <v>6</v>
      </c>
      <c r="E36">
        <f>E26</f>
        <v>2</v>
      </c>
      <c r="F36">
        <f>F26</f>
        <v>2</v>
      </c>
      <c r="G36">
        <f>G26</f>
        <v>1</v>
      </c>
      <c r="H36">
        <f>H26</f>
        <v>0</v>
      </c>
      <c r="I36">
        <f t="shared" ref="I36:J36" si="2">I26</f>
        <v>0</v>
      </c>
      <c r="J36">
        <f t="shared" si="2"/>
        <v>0</v>
      </c>
      <c r="K36">
        <f>SUM(E36:J36)</f>
        <v>5</v>
      </c>
    </row>
    <row r="37" spans="1:11">
      <c r="B37">
        <v>2</v>
      </c>
      <c r="E37" s="14">
        <f>E36+E27</f>
        <v>16</v>
      </c>
      <c r="F37">
        <f>F36+F27</f>
        <v>4</v>
      </c>
      <c r="G37">
        <f>G27+G36</f>
        <v>2</v>
      </c>
      <c r="H37">
        <f>H36+H26</f>
        <v>0</v>
      </c>
      <c r="I37">
        <f t="shared" ref="I37:J37" si="3">I36+I26</f>
        <v>0</v>
      </c>
      <c r="J37">
        <f t="shared" si="3"/>
        <v>0</v>
      </c>
      <c r="K37">
        <f>SUM(F37:J37)</f>
        <v>6</v>
      </c>
    </row>
    <row r="38" spans="1:11">
      <c r="B38">
        <v>3</v>
      </c>
      <c r="F38" s="14">
        <f>F37+F28</f>
        <v>21</v>
      </c>
      <c r="G38">
        <f>G37+G28</f>
        <v>4</v>
      </c>
      <c r="H38">
        <f>H37+H28</f>
        <v>0</v>
      </c>
      <c r="I38">
        <f t="shared" ref="I38:J38" si="4">I37+I28</f>
        <v>0</v>
      </c>
      <c r="J38">
        <f t="shared" si="4"/>
        <v>0</v>
      </c>
      <c r="K38">
        <f>SUM(G38:J38)</f>
        <v>4</v>
      </c>
    </row>
    <row r="39" spans="1:11">
      <c r="B39">
        <v>4</v>
      </c>
      <c r="G39" s="14">
        <f>G38+G29</f>
        <v>10</v>
      </c>
      <c r="H39">
        <f>H38+H29</f>
        <v>4</v>
      </c>
      <c r="I39">
        <f t="shared" ref="I39:J42" si="5">I38+I29</f>
        <v>2</v>
      </c>
      <c r="J39">
        <f t="shared" si="5"/>
        <v>1</v>
      </c>
      <c r="K39">
        <f>SUM(H39:J39)</f>
        <v>7</v>
      </c>
    </row>
    <row r="40" spans="1:11">
      <c r="B40">
        <v>5</v>
      </c>
      <c r="H40">
        <f>H39+H30</f>
        <v>11</v>
      </c>
      <c r="I40">
        <f>I39+I30</f>
        <v>3</v>
      </c>
      <c r="J40">
        <f t="shared" si="5"/>
        <v>2</v>
      </c>
      <c r="K40">
        <f>SUM(I40:J40)</f>
        <v>5</v>
      </c>
    </row>
    <row r="41" spans="1:11">
      <c r="B41">
        <v>6</v>
      </c>
      <c r="I41" s="14">
        <f>I40+I31</f>
        <v>8</v>
      </c>
      <c r="J41">
        <f t="shared" si="5"/>
        <v>3</v>
      </c>
      <c r="K41">
        <f>SUM(J41:J41)</f>
        <v>3</v>
      </c>
    </row>
    <row r="42" spans="1:11">
      <c r="B42">
        <v>7</v>
      </c>
      <c r="J42" s="14">
        <f t="shared" si="5"/>
        <v>9</v>
      </c>
    </row>
    <row r="44" spans="1:11" ht="13">
      <c r="A44" s="6" t="s">
        <v>41</v>
      </c>
    </row>
    <row r="46" spans="1:11">
      <c r="B46" s="4">
        <v>29951</v>
      </c>
      <c r="C46" s="4">
        <v>30010</v>
      </c>
      <c r="D46" s="4">
        <v>30071</v>
      </c>
      <c r="E46" s="4">
        <v>30194</v>
      </c>
      <c r="F46" s="4">
        <v>30255</v>
      </c>
      <c r="G46" s="4">
        <v>30316</v>
      </c>
      <c r="H46" s="4">
        <v>30375</v>
      </c>
      <c r="I46" s="4">
        <v>30436</v>
      </c>
    </row>
    <row r="47" spans="1:11">
      <c r="A47" t="s">
        <v>0</v>
      </c>
      <c r="B47">
        <v>28</v>
      </c>
      <c r="C47">
        <v>35</v>
      </c>
      <c r="D47">
        <v>30</v>
      </c>
      <c r="E47">
        <v>28</v>
      </c>
      <c r="F47">
        <v>13</v>
      </c>
      <c r="G47">
        <v>17</v>
      </c>
      <c r="H47">
        <v>8</v>
      </c>
      <c r="I47">
        <v>12</v>
      </c>
    </row>
    <row r="48" spans="1:11">
      <c r="A48" t="s">
        <v>1</v>
      </c>
      <c r="B48">
        <v>28</v>
      </c>
      <c r="C48">
        <v>33</v>
      </c>
      <c r="D48">
        <v>29</v>
      </c>
      <c r="E48">
        <v>28</v>
      </c>
      <c r="F48">
        <v>13</v>
      </c>
      <c r="G48">
        <v>17</v>
      </c>
      <c r="H48">
        <v>8</v>
      </c>
      <c r="I48">
        <v>10</v>
      </c>
    </row>
    <row r="49" spans="1:14">
      <c r="A49" t="s">
        <v>2</v>
      </c>
      <c r="B49">
        <f>K26</f>
        <v>11</v>
      </c>
      <c r="C49">
        <f>K27</f>
        <v>17</v>
      </c>
      <c r="D49">
        <f>K28</f>
        <v>19</v>
      </c>
      <c r="E49">
        <f>K29</f>
        <v>13</v>
      </c>
      <c r="F49">
        <f>K30</f>
        <v>9</v>
      </c>
      <c r="G49">
        <f>K31</f>
        <v>6</v>
      </c>
      <c r="H49" s="5">
        <f>K32</f>
        <v>6</v>
      </c>
      <c r="I49">
        <f>K33</f>
        <v>0</v>
      </c>
    </row>
    <row r="50" spans="1:14">
      <c r="A50" t="s">
        <v>3</v>
      </c>
      <c r="B50">
        <v>0</v>
      </c>
      <c r="C50" s="3">
        <f>C51+C52*C48/C49</f>
        <v>15.705882352941176</v>
      </c>
      <c r="D50" s="3">
        <f t="shared" ref="D50:H50" si="6">D51+D52*D48/D49</f>
        <v>25.157894736842103</v>
      </c>
      <c r="E50" s="3">
        <f t="shared" si="6"/>
        <v>29.615384615384613</v>
      </c>
      <c r="F50" s="3">
        <f t="shared" si="6"/>
        <v>20.111111111111111</v>
      </c>
      <c r="G50" s="3">
        <f t="shared" si="6"/>
        <v>25.166666666666664</v>
      </c>
      <c r="H50" s="3">
        <f t="shared" si="6"/>
        <v>12</v>
      </c>
      <c r="I50" s="15" t="s">
        <v>42</v>
      </c>
      <c r="J50" s="3"/>
      <c r="K50" s="3"/>
      <c r="L50" s="3"/>
      <c r="M50" s="3"/>
    </row>
    <row r="51" spans="1:14">
      <c r="A51" t="s">
        <v>4</v>
      </c>
      <c r="B51">
        <f>C33</f>
        <v>0</v>
      </c>
      <c r="C51">
        <f t="shared" ref="C51:I51" si="7">D33</f>
        <v>6</v>
      </c>
      <c r="D51">
        <f t="shared" si="7"/>
        <v>16</v>
      </c>
      <c r="E51">
        <f t="shared" si="7"/>
        <v>21</v>
      </c>
      <c r="F51">
        <f t="shared" si="7"/>
        <v>10</v>
      </c>
      <c r="G51">
        <f t="shared" si="7"/>
        <v>11</v>
      </c>
      <c r="H51">
        <f t="shared" si="7"/>
        <v>8</v>
      </c>
      <c r="I51">
        <f t="shared" si="7"/>
        <v>9</v>
      </c>
    </row>
    <row r="52" spans="1:14">
      <c r="A52" t="s">
        <v>5</v>
      </c>
      <c r="B52">
        <v>0</v>
      </c>
      <c r="C52">
        <f>K36</f>
        <v>5</v>
      </c>
      <c r="D52">
        <f>K37</f>
        <v>6</v>
      </c>
      <c r="E52">
        <f>K38</f>
        <v>4</v>
      </c>
      <c r="F52">
        <f>K39</f>
        <v>7</v>
      </c>
      <c r="G52">
        <f>K40</f>
        <v>5</v>
      </c>
      <c r="H52">
        <f>K41</f>
        <v>3</v>
      </c>
      <c r="I52">
        <v>0</v>
      </c>
    </row>
    <row r="54" spans="1:14" ht="15.5">
      <c r="A54" s="12" t="s">
        <v>43</v>
      </c>
      <c r="B54" s="2">
        <f>C50/(B50-B51+B48)</f>
        <v>0.56092436974789917</v>
      </c>
      <c r="C54" s="2">
        <f t="shared" ref="C54:G54" si="8">D50/(C50-C51+C48)</f>
        <v>0.5890967087139336</v>
      </c>
      <c r="D54" s="2">
        <f t="shared" si="8"/>
        <v>0.77612732095490711</v>
      </c>
      <c r="E54" s="2">
        <f t="shared" si="8"/>
        <v>0.54925303454715224</v>
      </c>
      <c r="F54" s="2">
        <f t="shared" si="8"/>
        <v>1.0889423076923077</v>
      </c>
      <c r="G54" s="2">
        <f t="shared" si="8"/>
        <v>0.38502673796791448</v>
      </c>
      <c r="H54" s="16" t="s">
        <v>42</v>
      </c>
      <c r="I54" s="16" t="s">
        <v>42</v>
      </c>
      <c r="J54" s="2"/>
      <c r="K54" s="2"/>
      <c r="L54" s="2"/>
      <c r="M54" s="2"/>
      <c r="N54" s="2"/>
    </row>
    <row r="55" spans="1:14">
      <c r="A55" t="s">
        <v>6</v>
      </c>
      <c r="B55" s="2">
        <f>SQRT(B54^2*((C50-C51)*(C50-C51+C48)/C50^2*(1/C49-1/C48)+(B50-B51)/(B50-B51+B48)*(1/B49-1/B48))+B54*(1-B54)/(B50-B51+B48))</f>
        <v>0.15451441271659666</v>
      </c>
      <c r="C55" s="2">
        <f t="shared" ref="C55:G55" si="9">SQRT(C54^2*((D50-D51)*(D50-D51+D48)/D50^2*(1/D49-1/D48)+(C50-C51)/(C50-C51+C48)*(1/C49-1/C48))+C54*(1-C54)/(C50-C51+C48))</f>
        <v>0.10674716463114121</v>
      </c>
      <c r="D55" s="2">
        <f t="shared" si="9"/>
        <v>0.12690713213673796</v>
      </c>
      <c r="E55" s="2">
        <f t="shared" si="9"/>
        <v>0.12508205594630994</v>
      </c>
      <c r="F55" s="2">
        <f t="shared" si="9"/>
        <v>0.32045739531716017</v>
      </c>
      <c r="G55" s="2">
        <f t="shared" si="9"/>
        <v>0.13008905897971124</v>
      </c>
      <c r="H55" s="16" t="s">
        <v>42</v>
      </c>
      <c r="I55" s="16" t="s">
        <v>42</v>
      </c>
      <c r="J55" s="2"/>
      <c r="K55" s="2"/>
      <c r="L55" s="2"/>
      <c r="M55" s="2"/>
      <c r="N55" s="2"/>
    </row>
    <row r="56" spans="1:14">
      <c r="A56" t="s">
        <v>7</v>
      </c>
      <c r="B56" s="1">
        <f t="shared" ref="B56:G56" si="10">1-B54</f>
        <v>0.43907563025210083</v>
      </c>
      <c r="C56" s="1">
        <f t="shared" si="10"/>
        <v>0.4109032912860664</v>
      </c>
      <c r="D56" s="1">
        <f t="shared" si="10"/>
        <v>0.22387267904509289</v>
      </c>
      <c r="E56" s="1">
        <f t="shared" si="10"/>
        <v>0.45074696545284776</v>
      </c>
      <c r="F56" s="1">
        <f t="shared" si="10"/>
        <v>-8.8942307692307709E-2</v>
      </c>
      <c r="G56" s="1">
        <f t="shared" si="10"/>
        <v>0.61497326203208558</v>
      </c>
      <c r="H56" s="16" t="s">
        <v>42</v>
      </c>
      <c r="I56" s="16" t="s">
        <v>42</v>
      </c>
      <c r="J56" s="1"/>
      <c r="K56" s="1"/>
      <c r="L56" s="1"/>
      <c r="M56" s="1"/>
      <c r="N56" s="1"/>
    </row>
    <row r="57" spans="1:14">
      <c r="B57" s="1"/>
      <c r="C57" s="1"/>
      <c r="D57" s="1"/>
      <c r="E57" s="1"/>
      <c r="F57" s="1"/>
      <c r="G57" s="1"/>
      <c r="H57" s="16"/>
      <c r="I57" s="16"/>
      <c r="J57" s="1"/>
      <c r="K57" s="1"/>
      <c r="L57" s="1"/>
      <c r="M57" s="1"/>
      <c r="N57" s="1"/>
    </row>
    <row r="58" spans="1:14" ht="13">
      <c r="A58" s="6" t="s">
        <v>47</v>
      </c>
    </row>
    <row r="59" spans="1:14" ht="13">
      <c r="A59" s="6" t="s">
        <v>36</v>
      </c>
      <c r="C59" s="10"/>
    </row>
    <row r="60" spans="1:14">
      <c r="B60" s="10" t="s">
        <v>38</v>
      </c>
      <c r="C60">
        <v>1</v>
      </c>
      <c r="D60">
        <v>2</v>
      </c>
      <c r="E60">
        <v>3</v>
      </c>
      <c r="F60">
        <v>4</v>
      </c>
      <c r="G60">
        <v>5</v>
      </c>
      <c r="H60">
        <v>6</v>
      </c>
      <c r="I60">
        <v>7</v>
      </c>
      <c r="J60">
        <v>8</v>
      </c>
    </row>
    <row r="61" spans="1:14">
      <c r="B61" s="10" t="s">
        <v>39</v>
      </c>
      <c r="C61" s="4">
        <v>29951</v>
      </c>
      <c r="D61" s="4">
        <v>30010</v>
      </c>
      <c r="E61" s="4">
        <v>30071</v>
      </c>
      <c r="F61" s="4">
        <v>30194</v>
      </c>
      <c r="G61" s="4">
        <v>30255</v>
      </c>
      <c r="H61" s="4">
        <v>30316</v>
      </c>
      <c r="I61" s="4">
        <v>30375</v>
      </c>
      <c r="J61" s="4">
        <v>30436</v>
      </c>
      <c r="K61" s="10" t="s">
        <v>13</v>
      </c>
    </row>
    <row r="62" spans="1:14">
      <c r="A62" s="13">
        <v>29951</v>
      </c>
      <c r="B62">
        <v>1</v>
      </c>
      <c r="D62">
        <v>6</v>
      </c>
      <c r="E62">
        <v>2</v>
      </c>
      <c r="F62">
        <v>1</v>
      </c>
      <c r="G62">
        <v>1</v>
      </c>
      <c r="H62">
        <v>0</v>
      </c>
      <c r="I62">
        <v>0</v>
      </c>
      <c r="J62">
        <v>0</v>
      </c>
      <c r="K62">
        <f>SUM(D62:J62)</f>
        <v>10</v>
      </c>
    </row>
    <row r="63" spans="1:14">
      <c r="A63" s="13">
        <v>30010</v>
      </c>
      <c r="B63">
        <v>2</v>
      </c>
      <c r="E63">
        <v>13</v>
      </c>
      <c r="F63">
        <v>2</v>
      </c>
      <c r="G63">
        <v>0</v>
      </c>
      <c r="H63">
        <v>0</v>
      </c>
      <c r="I63">
        <v>0</v>
      </c>
      <c r="J63">
        <v>0</v>
      </c>
      <c r="K63">
        <f t="shared" ref="K63:K68" si="11">SUM(D63:J63)</f>
        <v>15</v>
      </c>
    </row>
    <row r="64" spans="1:14">
      <c r="A64" s="13">
        <v>30071</v>
      </c>
      <c r="B64">
        <v>3</v>
      </c>
      <c r="F64">
        <v>17</v>
      </c>
      <c r="G64">
        <v>2</v>
      </c>
      <c r="H64">
        <v>0</v>
      </c>
      <c r="I64">
        <v>0</v>
      </c>
      <c r="J64">
        <v>0</v>
      </c>
      <c r="K64">
        <f t="shared" si="11"/>
        <v>19</v>
      </c>
    </row>
    <row r="65" spans="1:11">
      <c r="A65" s="13">
        <v>30194</v>
      </c>
      <c r="B65">
        <v>4</v>
      </c>
      <c r="G65">
        <v>5</v>
      </c>
      <c r="H65">
        <v>4</v>
      </c>
      <c r="I65">
        <v>2</v>
      </c>
      <c r="J65">
        <v>1</v>
      </c>
      <c r="K65">
        <f t="shared" si="11"/>
        <v>12</v>
      </c>
    </row>
    <row r="66" spans="1:11">
      <c r="A66" s="13">
        <v>30255</v>
      </c>
      <c r="B66">
        <v>5</v>
      </c>
      <c r="H66">
        <v>7</v>
      </c>
      <c r="I66">
        <v>1</v>
      </c>
      <c r="J66">
        <v>1</v>
      </c>
      <c r="K66">
        <f t="shared" si="11"/>
        <v>9</v>
      </c>
    </row>
    <row r="67" spans="1:11">
      <c r="A67" s="13">
        <v>30316</v>
      </c>
      <c r="B67">
        <v>6</v>
      </c>
      <c r="I67">
        <v>5</v>
      </c>
      <c r="J67">
        <v>1</v>
      </c>
      <c r="K67">
        <f t="shared" si="11"/>
        <v>6</v>
      </c>
    </row>
    <row r="68" spans="1:11">
      <c r="A68" s="13">
        <v>30375</v>
      </c>
      <c r="B68">
        <v>7</v>
      </c>
      <c r="J68">
        <v>6</v>
      </c>
      <c r="K68">
        <f t="shared" si="11"/>
        <v>6</v>
      </c>
    </row>
    <row r="69" spans="1:11">
      <c r="A69" s="13"/>
      <c r="B69" s="10" t="s">
        <v>15</v>
      </c>
      <c r="C69">
        <v>0</v>
      </c>
      <c r="D69">
        <f>SUM(D62:D68)</f>
        <v>6</v>
      </c>
      <c r="E69">
        <f t="shared" ref="E69" si="12">SUM(E62:E68)</f>
        <v>15</v>
      </c>
      <c r="F69">
        <f t="shared" ref="F69" si="13">SUM(F62:F68)</f>
        <v>20</v>
      </c>
      <c r="G69">
        <f t="shared" ref="G69" si="14">SUM(G62:G68)</f>
        <v>8</v>
      </c>
      <c r="H69">
        <f t="shared" ref="H69" si="15">SUM(H62:H68)</f>
        <v>11</v>
      </c>
      <c r="I69">
        <f t="shared" ref="I69" si="16">SUM(I62:I68)</f>
        <v>8</v>
      </c>
      <c r="J69">
        <f t="shared" ref="J69" si="17">SUM(J62:J68)</f>
        <v>9</v>
      </c>
    </row>
    <row r="70" spans="1:11">
      <c r="A70" s="13"/>
      <c r="B70" s="10"/>
    </row>
    <row r="71" spans="1:11">
      <c r="B71" s="10" t="s">
        <v>39</v>
      </c>
      <c r="K71" s="10" t="s">
        <v>40</v>
      </c>
    </row>
    <row r="72" spans="1:11">
      <c r="B72">
        <v>1</v>
      </c>
      <c r="D72" s="14">
        <f>D62</f>
        <v>6</v>
      </c>
      <c r="E72">
        <f>E62</f>
        <v>2</v>
      </c>
      <c r="F72">
        <f>F62</f>
        <v>1</v>
      </c>
      <c r="G72">
        <f>G62</f>
        <v>1</v>
      </c>
      <c r="H72">
        <f>H62</f>
        <v>0</v>
      </c>
      <c r="I72">
        <f t="shared" ref="I72:J72" si="18">I62</f>
        <v>0</v>
      </c>
      <c r="J72">
        <f t="shared" si="18"/>
        <v>0</v>
      </c>
      <c r="K72">
        <f>SUM(E72:J72)</f>
        <v>4</v>
      </c>
    </row>
    <row r="73" spans="1:11">
      <c r="B73">
        <v>2</v>
      </c>
      <c r="E73" s="14">
        <f>E72+E63</f>
        <v>15</v>
      </c>
      <c r="F73">
        <f>F72+F63</f>
        <v>3</v>
      </c>
      <c r="G73">
        <f>G63+G72</f>
        <v>1</v>
      </c>
      <c r="H73">
        <f>H72+H62</f>
        <v>0</v>
      </c>
      <c r="I73">
        <f t="shared" ref="I73" si="19">I72+I62</f>
        <v>0</v>
      </c>
      <c r="J73">
        <f t="shared" ref="J73" si="20">J72+J62</f>
        <v>0</v>
      </c>
      <c r="K73">
        <f>SUM(F73:J73)</f>
        <v>4</v>
      </c>
    </row>
    <row r="74" spans="1:11">
      <c r="B74">
        <v>3</v>
      </c>
      <c r="F74" s="14">
        <f>F73+F64</f>
        <v>20</v>
      </c>
      <c r="G74">
        <f>G73+G64</f>
        <v>3</v>
      </c>
      <c r="H74">
        <f>H73+H64</f>
        <v>0</v>
      </c>
      <c r="I74">
        <f t="shared" ref="I74:I75" si="21">I73+I64</f>
        <v>0</v>
      </c>
      <c r="J74">
        <f t="shared" ref="J74:J78" si="22">J73+J64</f>
        <v>0</v>
      </c>
      <c r="K74">
        <f>SUM(G74:J74)</f>
        <v>3</v>
      </c>
    </row>
    <row r="75" spans="1:11">
      <c r="B75">
        <v>4</v>
      </c>
      <c r="G75" s="14">
        <f>G74+G65</f>
        <v>8</v>
      </c>
      <c r="H75">
        <f>H74+H65</f>
        <v>4</v>
      </c>
      <c r="I75">
        <f t="shared" si="21"/>
        <v>2</v>
      </c>
      <c r="J75">
        <f t="shared" si="22"/>
        <v>1</v>
      </c>
      <c r="K75">
        <f>SUM(H75:J75)</f>
        <v>7</v>
      </c>
    </row>
    <row r="76" spans="1:11">
      <c r="B76">
        <v>5</v>
      </c>
      <c r="H76">
        <f>H75+H66</f>
        <v>11</v>
      </c>
      <c r="I76">
        <f>I75+I66</f>
        <v>3</v>
      </c>
      <c r="J76">
        <f t="shared" si="22"/>
        <v>2</v>
      </c>
      <c r="K76">
        <f>SUM(I76:J76)</f>
        <v>5</v>
      </c>
    </row>
    <row r="77" spans="1:11">
      <c r="B77">
        <v>6</v>
      </c>
      <c r="I77" s="14">
        <f>I76+I67</f>
        <v>8</v>
      </c>
      <c r="J77">
        <f t="shared" si="22"/>
        <v>3</v>
      </c>
      <c r="K77">
        <f>SUM(J77:J77)</f>
        <v>3</v>
      </c>
    </row>
    <row r="78" spans="1:11">
      <c r="B78">
        <v>7</v>
      </c>
      <c r="J78" s="14">
        <f t="shared" si="22"/>
        <v>9</v>
      </c>
    </row>
    <row r="80" spans="1:11" ht="13">
      <c r="A80" s="6" t="s">
        <v>41</v>
      </c>
    </row>
    <row r="82" spans="1:14">
      <c r="B82" s="4">
        <v>29951</v>
      </c>
      <c r="C82" s="4">
        <v>30010</v>
      </c>
      <c r="D82" s="4">
        <v>30071</v>
      </c>
      <c r="E82" s="4">
        <v>30194</v>
      </c>
      <c r="F82" s="4">
        <v>30255</v>
      </c>
      <c r="G82" s="4">
        <v>30316</v>
      </c>
      <c r="H82" s="4">
        <v>30375</v>
      </c>
      <c r="I82" s="4">
        <v>30436</v>
      </c>
    </row>
    <row r="83" spans="1:14">
      <c r="A83" t="s">
        <v>0</v>
      </c>
      <c r="B83">
        <v>28</v>
      </c>
      <c r="C83">
        <v>35</v>
      </c>
      <c r="D83">
        <v>30</v>
      </c>
      <c r="E83">
        <v>28</v>
      </c>
      <c r="F83">
        <v>13</v>
      </c>
      <c r="G83">
        <v>17</v>
      </c>
      <c r="H83">
        <v>8</v>
      </c>
      <c r="I83">
        <v>12</v>
      </c>
    </row>
    <row r="84" spans="1:14">
      <c r="A84" t="s">
        <v>1</v>
      </c>
      <c r="B84">
        <v>28</v>
      </c>
      <c r="C84">
        <v>33</v>
      </c>
      <c r="D84">
        <v>29</v>
      </c>
      <c r="E84">
        <v>28</v>
      </c>
      <c r="F84">
        <v>13</v>
      </c>
      <c r="G84">
        <v>17</v>
      </c>
      <c r="H84">
        <v>8</v>
      </c>
      <c r="I84">
        <v>10</v>
      </c>
    </row>
    <row r="85" spans="1:14">
      <c r="A85" t="s">
        <v>2</v>
      </c>
      <c r="B85">
        <f>K62</f>
        <v>10</v>
      </c>
      <c r="C85">
        <f>K63</f>
        <v>15</v>
      </c>
      <c r="D85">
        <f>K64</f>
        <v>19</v>
      </c>
      <c r="E85">
        <f>K65</f>
        <v>12</v>
      </c>
      <c r="F85">
        <f>K66</f>
        <v>9</v>
      </c>
      <c r="G85">
        <f>K67</f>
        <v>6</v>
      </c>
      <c r="H85" s="5">
        <f>K68</f>
        <v>6</v>
      </c>
      <c r="I85">
        <f>K69</f>
        <v>0</v>
      </c>
    </row>
    <row r="86" spans="1:14">
      <c r="A86" t="s">
        <v>3</v>
      </c>
      <c r="B86">
        <v>0</v>
      </c>
      <c r="C86" s="3">
        <f>C87+C88*C84/C85</f>
        <v>14.8</v>
      </c>
      <c r="D86" s="3">
        <f t="shared" ref="D86" si="23">D87+D88*D84/D85</f>
        <v>21.105263157894736</v>
      </c>
      <c r="E86" s="3">
        <f t="shared" ref="E86" si="24">E87+E88*E84/E85</f>
        <v>27</v>
      </c>
      <c r="F86" s="3">
        <f t="shared" ref="F86" si="25">F87+F88*F84/F85</f>
        <v>18.111111111111111</v>
      </c>
      <c r="G86" s="3">
        <f t="shared" ref="G86" si="26">G87+G88*G84/G85</f>
        <v>25.166666666666664</v>
      </c>
      <c r="H86" s="3">
        <f t="shared" ref="H86" si="27">H87+H88*H84/H85</f>
        <v>12</v>
      </c>
      <c r="I86" s="15" t="s">
        <v>42</v>
      </c>
      <c r="J86" s="3"/>
      <c r="K86" s="3"/>
      <c r="L86" s="3"/>
      <c r="M86" s="3"/>
    </row>
    <row r="87" spans="1:14">
      <c r="A87" t="s">
        <v>4</v>
      </c>
      <c r="B87">
        <f>C69</f>
        <v>0</v>
      </c>
      <c r="C87">
        <f t="shared" ref="C87:I87" si="28">D69</f>
        <v>6</v>
      </c>
      <c r="D87">
        <f t="shared" si="28"/>
        <v>15</v>
      </c>
      <c r="E87">
        <f t="shared" si="28"/>
        <v>20</v>
      </c>
      <c r="F87">
        <f t="shared" si="28"/>
        <v>8</v>
      </c>
      <c r="G87">
        <f t="shared" si="28"/>
        <v>11</v>
      </c>
      <c r="H87">
        <f t="shared" si="28"/>
        <v>8</v>
      </c>
      <c r="I87">
        <f t="shared" si="28"/>
        <v>9</v>
      </c>
    </row>
    <row r="88" spans="1:14">
      <c r="A88" t="s">
        <v>5</v>
      </c>
      <c r="B88">
        <v>0</v>
      </c>
      <c r="C88">
        <f>K72</f>
        <v>4</v>
      </c>
      <c r="D88">
        <f>K73</f>
        <v>4</v>
      </c>
      <c r="E88">
        <f>K74</f>
        <v>3</v>
      </c>
      <c r="F88">
        <f>K75</f>
        <v>7</v>
      </c>
      <c r="G88">
        <f>K76</f>
        <v>5</v>
      </c>
      <c r="H88">
        <f>K77</f>
        <v>3</v>
      </c>
      <c r="I88">
        <v>0</v>
      </c>
    </row>
    <row r="90" spans="1:14" ht="15.5">
      <c r="A90" s="17" t="s">
        <v>33</v>
      </c>
      <c r="B90" s="2">
        <f>C86/(B86-B87+B84)</f>
        <v>0.52857142857142858</v>
      </c>
      <c r="C90" s="2">
        <f t="shared" ref="C90:G90" si="29">D86/(C86-C87+C84)</f>
        <v>0.50491060186351044</v>
      </c>
      <c r="D90" s="2">
        <f t="shared" si="29"/>
        <v>0.76911544227886053</v>
      </c>
      <c r="E90" s="2">
        <f t="shared" si="29"/>
        <v>0.5174603174603174</v>
      </c>
      <c r="F90" s="2">
        <f t="shared" si="29"/>
        <v>1.0889423076923077</v>
      </c>
      <c r="G90" s="2">
        <f t="shared" si="29"/>
        <v>0.38502673796791448</v>
      </c>
      <c r="H90" s="16" t="s">
        <v>42</v>
      </c>
      <c r="I90" s="16" t="s">
        <v>42</v>
      </c>
      <c r="J90" s="2"/>
      <c r="K90" s="2"/>
      <c r="L90" s="2"/>
      <c r="M90" s="2"/>
      <c r="N90" s="2"/>
    </row>
    <row r="91" spans="1:14">
      <c r="A91" s="10" t="s">
        <v>59</v>
      </c>
      <c r="B91" s="2">
        <f>SQRT(B90^2*((C86-C87)*(C86-C87+C84)/C86^2*(1/C85-1/C84)+(B86-B87)/(B86-B87+B84)*(1/B85-1/B84))+B90*(1-B90)/(B86-B87+B84))</f>
        <v>0.16112306290353628</v>
      </c>
      <c r="C91" s="2">
        <f t="shared" ref="C91" si="30">SQRT(C90^2*((D86-D87)*(D86-D87+D84)/D86^2*(1/D85-1/D84)+(C86-C87)/(C86-C87+C84)*(1/C85-1/C84))+C90*(1-C90)/(C86-C87+C84))</f>
        <v>0.10078779751063456</v>
      </c>
      <c r="D91" s="2">
        <f t="shared" ref="D91" si="31">SQRT(D90^2*((E86-E87)*(E86-E87+E84)/E86^2*(1/E85-1/E84)+(D86-D87)/(D86-D87+D84)*(1/D85-1/D84))+D90*(1-D90)/(D86-D87+D84))</f>
        <v>0.1280323227362776</v>
      </c>
      <c r="E91" s="2">
        <f t="shared" ref="E91" si="32">SQRT(E90^2*((F86-F87)*(F86-F87+F84)/F86^2*(1/F85-1/F84)+(E86-E87)/(E86-E87+E84)*(1/E85-1/E84))+E90*(1-E90)/(E86-E87+E84))</f>
        <v>0.12730257374572962</v>
      </c>
      <c r="F91" s="2">
        <f t="shared" ref="F91" si="33">SQRT(F90^2*((G86-G87)*(G86-G87+G84)/G86^2*(1/G85-1/G84)+(F86-F87)/(F86-F87+F84)*(1/F85-1/F84))+F90*(1-F90)/(F86-F87+F84))</f>
        <v>0.32045739531716017</v>
      </c>
      <c r="G91" s="2">
        <f t="shared" ref="G91" si="34">SQRT(G90^2*((H86-H87)*(H86-H87+H84)/H86^2*(1/H85-1/H84)+(G86-G87)/(G86-G87+G84)*(1/G85-1/G84))+G90*(1-G90)/(G86-G87+G84))</f>
        <v>0.13008905897971124</v>
      </c>
      <c r="H91" s="16" t="s">
        <v>42</v>
      </c>
      <c r="I91" s="16" t="s">
        <v>42</v>
      </c>
      <c r="J91" s="2"/>
      <c r="K91" s="2"/>
      <c r="L91" s="2"/>
      <c r="M91" s="2"/>
      <c r="N91" s="2"/>
    </row>
    <row r="92" spans="1:14">
      <c r="A92" t="s">
        <v>7</v>
      </c>
      <c r="B92" s="1">
        <f t="shared" ref="B92:G92" si="35">1-B90</f>
        <v>0.47142857142857142</v>
      </c>
      <c r="C92" s="1">
        <f t="shared" si="35"/>
        <v>0.49508939813648956</v>
      </c>
      <c r="D92" s="1">
        <f t="shared" si="35"/>
        <v>0.23088455772113947</v>
      </c>
      <c r="E92" s="1">
        <f t="shared" si="35"/>
        <v>0.4825396825396826</v>
      </c>
      <c r="F92" s="1">
        <f t="shared" si="35"/>
        <v>-8.8942307692307709E-2</v>
      </c>
      <c r="G92" s="1">
        <f t="shared" si="35"/>
        <v>0.61497326203208558</v>
      </c>
      <c r="H92" s="16" t="s">
        <v>42</v>
      </c>
      <c r="I92" s="16" t="s">
        <v>42</v>
      </c>
      <c r="J92" s="1"/>
      <c r="K92" s="1"/>
      <c r="L92" s="1"/>
      <c r="M92" s="1"/>
      <c r="N92" s="1"/>
    </row>
    <row r="95" spans="1:14" ht="13">
      <c r="A95" s="6" t="s">
        <v>49</v>
      </c>
    </row>
    <row r="96" spans="1:14">
      <c r="A96" s="10" t="s">
        <v>51</v>
      </c>
    </row>
    <row r="97" spans="1:7">
      <c r="A97" s="10" t="s">
        <v>57</v>
      </c>
    </row>
    <row r="98" spans="1:7">
      <c r="A98" s="10" t="s">
        <v>58</v>
      </c>
    </row>
    <row r="99" spans="1:7">
      <c r="A99" s="10" t="s">
        <v>52</v>
      </c>
      <c r="B99" s="10">
        <f>180/130</f>
        <v>1.3846153846153846</v>
      </c>
    </row>
    <row r="100" spans="1:7">
      <c r="A100" s="12" t="s">
        <v>50</v>
      </c>
      <c r="B100">
        <f>(B99*B54-B90)/(B99-1)</f>
        <v>0.6450420168067228</v>
      </c>
      <c r="C100">
        <f>(B99*C54-C90)/(B99-1)</f>
        <v>0.80798058652503368</v>
      </c>
      <c r="D100">
        <f>(B99*D54-D90)/(B99-1)</f>
        <v>0.79435820551262804</v>
      </c>
      <c r="E100">
        <f>(B99*E54-E90)/(B99-1)</f>
        <v>0.63191409897292294</v>
      </c>
      <c r="F100">
        <f>(B99*F54-F90)/(B99-1)</f>
        <v>1.0889423076923075</v>
      </c>
      <c r="G100">
        <f>(B99*G54-G90)/(B99-1)</f>
        <v>0.38502673796791453</v>
      </c>
    </row>
    <row r="101" spans="1:7">
      <c r="A101" s="10" t="s">
        <v>7</v>
      </c>
      <c r="B101">
        <f>1-B100</f>
        <v>0.3549579831932772</v>
      </c>
      <c r="C101">
        <f t="shared" ref="C101:G101" si="36">1-C100</f>
        <v>0.19201941347496632</v>
      </c>
      <c r="D101">
        <f t="shared" si="36"/>
        <v>0.20564179448737196</v>
      </c>
      <c r="E101">
        <f t="shared" si="36"/>
        <v>0.36808590102707706</v>
      </c>
      <c r="F101">
        <f t="shared" si="36"/>
        <v>-8.8942307692307487E-2</v>
      </c>
      <c r="G101">
        <f t="shared" si="36"/>
        <v>0.61497326203208547</v>
      </c>
    </row>
    <row r="102" spans="1:7">
      <c r="A102" s="11" t="s">
        <v>28</v>
      </c>
      <c r="B102" s="10">
        <f>(B54-B90)/(B99*B54-B90)</f>
        <v>0.13040646169880143</v>
      </c>
      <c r="C102" s="10">
        <f>(C54-C90)/(B99*C54-C90)</f>
        <v>0.27090239723763282</v>
      </c>
      <c r="D102" s="10">
        <f>(D54-D90)/(B99*D54-D90)</f>
        <v>2.2950457905770681E-2</v>
      </c>
      <c r="E102" s="10">
        <f>(E54-E90)/(B99*E54-E90)</f>
        <v>0.13081060315021167</v>
      </c>
      <c r="F102" s="10">
        <f>(F54-F90)/(B99*F54-F90)</f>
        <v>0</v>
      </c>
      <c r="G102" s="10">
        <f>(G54-G90)/(B99*G54-G90)</f>
        <v>0</v>
      </c>
    </row>
    <row r="105" spans="1:7">
      <c r="A105" s="10" t="s">
        <v>55</v>
      </c>
    </row>
    <row r="106" spans="1:7">
      <c r="A106" s="10" t="s">
        <v>47</v>
      </c>
      <c r="B106" s="10">
        <f>1-F54*G54</f>
        <v>0.58072809543397774</v>
      </c>
    </row>
    <row r="107" spans="1:7">
      <c r="A107" s="10" t="s">
        <v>54</v>
      </c>
      <c r="B107">
        <f>1-F90*G90</f>
        <v>0.58072809543397774</v>
      </c>
    </row>
    <row r="140" spans="12:12">
      <c r="L140" s="1"/>
    </row>
  </sheetData>
  <printOptions headings="1" gridLines="1" gridLinesSet="0"/>
  <pageMargins left="0.78740157480314965" right="0.78740157480314965" top="0.98425196850393704" bottom="0.98425196850393704" header="0.5" footer="0.5"/>
  <pageSetup orientation="landscape" horizontalDpi="0" verticalDpi="0" copies="0"/>
  <headerFooter alignWithMargins="0">
    <oddHeader>&amp;F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Mb-ohneemig-Jolly-Seber</vt:lpstr>
      <vt:lpstr>'Mb-ohneemig-Jolly-Seber'!Print_Area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Grimm-Seyfarth, Annegret</cp:lastModifiedBy>
  <dcterms:created xsi:type="dcterms:W3CDTF">2024-10-13T09:32:36Z</dcterms:created>
  <dcterms:modified xsi:type="dcterms:W3CDTF">2026-10-26T12:02:27Z</dcterms:modified>
</cp:coreProperties>
</file>