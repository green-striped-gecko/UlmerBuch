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93AF4A77-AE3C-5441-AC32-8F0429E9F9A9}" xr6:coauthVersionLast="47" xr6:coauthVersionMax="47" xr10:uidLastSave="{00000000-0000-0000-0000-000000000000}"/>
  <bookViews>
    <workbookView xWindow="540" yWindow="2300" windowWidth="18920" windowHeight="12920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  <sheet name="Tabelle5" sheetId="5" r:id="rId5"/>
    <sheet name="Tabelle6" sheetId="6" r:id="rId6"/>
    <sheet name="Tabelle7" sheetId="7" r:id="rId7"/>
    <sheet name="Tabelle8" sheetId="8" r:id="rId8"/>
    <sheet name="Tabelle9" sheetId="9" r:id="rId9"/>
    <sheet name="Tabelle10" sheetId="10" r:id="rId10"/>
    <sheet name="Tabelle11" sheetId="11" r:id="rId11"/>
    <sheet name="Tabelle12" sheetId="12" r:id="rId12"/>
    <sheet name="Tabelle13" sheetId="13" r:id="rId13"/>
    <sheet name="Tabelle14" sheetId="14" r:id="rId14"/>
    <sheet name="Tabelle15" sheetId="15" r:id="rId15"/>
    <sheet name="Tabelle16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" l="1"/>
  <c r="E45" i="1"/>
  <c r="D45" i="1"/>
  <c r="G34" i="1"/>
  <c r="H18" i="1" l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G37" i="1" s="1"/>
  <c r="C18" i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B37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7" i="1"/>
  <c r="H40" i="1"/>
  <c r="B34" i="1"/>
  <c r="B40" i="1"/>
  <c r="C40" i="1" l="1"/>
  <c r="C42" i="1" s="1"/>
  <c r="J34" i="1"/>
  <c r="G40" i="1" s="1"/>
  <c r="E40" i="1"/>
  <c r="E34" i="1"/>
  <c r="A40" i="1" s="1"/>
  <c r="I40" i="1"/>
  <c r="I42" i="1" s="1"/>
  <c r="D40" i="1" l="1"/>
  <c r="J40" i="1"/>
</calcChain>
</file>

<file path=xl/sharedStrings.xml><?xml version="1.0" encoding="utf-8"?>
<sst xmlns="http://schemas.openxmlformats.org/spreadsheetml/2006/main" count="48" uniqueCount="42">
  <si>
    <t>k=16</t>
  </si>
  <si>
    <t>k=15</t>
  </si>
  <si>
    <t>ei+1*ui/ui+1</t>
  </si>
  <si>
    <t>ui</t>
  </si>
  <si>
    <t>ei</t>
  </si>
  <si>
    <t>Tab. 10.8, Beispiel 10.12 Schätzung einer Hummerpopulationsgröße mit der Sample Coverage für Modell Mbht</t>
  </si>
  <si>
    <t>i</t>
  </si>
  <si>
    <t>DeLury, D.B. (1947): On the estimation of biological populations. – Biometrics 3: 145–167</t>
  </si>
  <si>
    <t>Datenquelle</t>
  </si>
  <si>
    <t>Nk</t>
  </si>
  <si>
    <t>Mk+1</t>
  </si>
  <si>
    <t>Ck</t>
  </si>
  <si>
    <t>C16</t>
  </si>
  <si>
    <t>C15</t>
  </si>
  <si>
    <t>N15</t>
  </si>
  <si>
    <t>N16</t>
  </si>
  <si>
    <r>
      <t>Anzahl der</t>
    </r>
    <r>
      <rPr>
        <i/>
        <sz val="11"/>
        <rFont val="Calibri"/>
        <family val="2"/>
      </rPr>
      <t xml:space="preserve"> </t>
    </r>
    <r>
      <rPr>
        <sz val="11"/>
        <rFont val="Calibri"/>
        <family val="2"/>
      </rPr>
      <t xml:space="preserve">bei Fanggelegenheit </t>
    </r>
    <r>
      <rPr>
        <i/>
        <sz val="11"/>
        <rFont val="Calibri"/>
        <family val="2"/>
      </rPr>
      <t>k</t>
    </r>
    <r>
      <rPr>
        <sz val="11"/>
        <rFont val="Calibri"/>
        <family val="2"/>
      </rPr>
      <t> </t>
    </r>
    <r>
      <rPr>
        <i/>
        <sz val="11"/>
        <rFont val="Calibri"/>
        <family val="2"/>
      </rPr>
      <t>+</t>
    </r>
    <r>
      <rPr>
        <sz val="11"/>
        <rFont val="Calibri"/>
        <family val="2"/>
      </rPr>
      <t> 1</t>
    </r>
    <r>
      <rPr>
        <i/>
        <sz val="11"/>
        <rFont val="Calibri"/>
        <family val="2"/>
      </rPr>
      <t xml:space="preserve"> </t>
    </r>
    <r>
      <rPr>
        <sz val="11"/>
        <rFont val="Calibri"/>
        <family val="2"/>
      </rPr>
      <t>bereits abgefangenen Individuen</t>
    </r>
  </si>
  <si>
    <t>Ak</t>
  </si>
  <si>
    <t>Zwischenschritt für die Parameterberechnungen</t>
  </si>
  <si>
    <t>M16+1</t>
  </si>
  <si>
    <t>M15+1</t>
  </si>
  <si>
    <t>Mi</t>
  </si>
  <si>
    <t>Summen</t>
  </si>
  <si>
    <t>A16</t>
  </si>
  <si>
    <t>A15</t>
  </si>
  <si>
    <t>Anmerkung</t>
  </si>
  <si>
    <r>
      <t xml:space="preserve">geschätzter Varianzkoeffizient der Fangwahrscheinlichkeit für die ersten </t>
    </r>
    <r>
      <rPr>
        <i/>
        <sz val="11"/>
        <rFont val="Calibri"/>
        <family val="2"/>
      </rPr>
      <t>k</t>
    </r>
    <r>
      <rPr>
        <sz val="11"/>
        <rFont val="Calibri"/>
        <family val="2"/>
      </rPr>
      <t xml:space="preserve"> Fänge</t>
    </r>
  </si>
  <si>
    <t>Parameterdefinitionen</t>
  </si>
  <si>
    <r>
      <t xml:space="preserve">Geschätzte Sample Coverage der </t>
    </r>
    <r>
      <rPr>
        <i/>
        <sz val="11"/>
        <rFont val="Calibri"/>
        <family val="2"/>
      </rPr>
      <t>k</t>
    </r>
    <r>
      <rPr>
        <sz val="11"/>
        <rFont val="Calibri"/>
        <family val="2"/>
      </rPr>
      <t xml:space="preserve"> ersten</t>
    </r>
    <r>
      <rPr>
        <i/>
        <sz val="11"/>
        <rFont val="Calibri"/>
        <family val="2"/>
      </rPr>
      <t xml:space="preserve"> </t>
    </r>
    <r>
      <rPr>
        <sz val="11"/>
        <rFont val="Calibri"/>
        <family val="2"/>
      </rPr>
      <t>Fanggelegenheiten</t>
    </r>
  </si>
  <si>
    <r>
      <t xml:space="preserve">Relativer Zeiteffekt der </t>
    </r>
    <r>
      <rPr>
        <i/>
        <sz val="11"/>
        <rFont val="Calibri"/>
        <family val="2"/>
      </rPr>
      <t>i</t>
    </r>
    <r>
      <rPr>
        <sz val="11"/>
        <rFont val="Calibri"/>
        <family val="2"/>
      </rPr>
      <t>-ten Fanggelegenheit auf die Fangwahrscheinlichkeit; hier gemessen in 1000 Fallen</t>
    </r>
  </si>
  <si>
    <t>Geschätzte Populationsgröße bei Verwendung der ersten k Fanggelegenheiten</t>
  </si>
  <si>
    <r>
      <t xml:space="preserve">Anzahl der bei Fanggelegenheit </t>
    </r>
    <r>
      <rPr>
        <i/>
        <sz val="11"/>
        <rFont val="Calibri"/>
        <family val="2"/>
      </rPr>
      <t>i</t>
    </r>
    <r>
      <rPr>
        <sz val="11"/>
        <rFont val="Calibri"/>
        <family val="2"/>
      </rPr>
      <t xml:space="preserve"> gefangenen Exemplare (in 1000 lb). 1 lb entspricht 0,453592 kg</t>
    </r>
  </si>
  <si>
    <r>
      <rPr>
        <sz val="10"/>
        <rFont val="Symbol"/>
        <charset val="2"/>
      </rPr>
      <t>g</t>
    </r>
    <r>
      <rPr>
        <sz val="10"/>
        <rFont val="Geneva"/>
        <family val="2"/>
      </rPr>
      <t xml:space="preserve"> k</t>
    </r>
  </si>
  <si>
    <r>
      <t xml:space="preserve">Wenn </t>
    </r>
    <r>
      <rPr>
        <sz val="11"/>
        <rFont val="Symbol"/>
        <charset val="2"/>
      </rPr>
      <t>g</t>
    </r>
    <r>
      <rPr>
        <sz val="11"/>
        <rFont val="Calibri"/>
        <family val="2"/>
      </rPr>
      <t xml:space="preserve"> = 0 gesetzt wird, wird angenommen, dass es keine individuelle Heterogenität der Fangwahrscheinlichkeit gibt, was bei Hummern wahrscheinlich nicht der Fall ist</t>
    </r>
  </si>
  <si>
    <r>
      <rPr>
        <sz val="10"/>
        <rFont val="Symbol"/>
        <charset val="2"/>
      </rPr>
      <t>g</t>
    </r>
    <r>
      <rPr>
        <sz val="10"/>
        <rFont val="Geneva"/>
        <family val="2"/>
      </rPr>
      <t>-Quadrat16</t>
    </r>
  </si>
  <si>
    <r>
      <rPr>
        <sz val="10"/>
        <rFont val="Symbol"/>
        <charset val="2"/>
      </rPr>
      <t>g</t>
    </r>
    <r>
      <rPr>
        <sz val="10"/>
        <rFont val="Geneva"/>
        <family val="2"/>
      </rPr>
      <t>-Quadrat15</t>
    </r>
  </si>
  <si>
    <t>g 15</t>
  </si>
  <si>
    <t>g 16</t>
  </si>
  <si>
    <r>
      <t>N16 ohne Heterogenität (</t>
    </r>
    <r>
      <rPr>
        <sz val="10"/>
        <rFont val="Symbol"/>
        <charset val="2"/>
      </rPr>
      <t>g</t>
    </r>
    <r>
      <rPr>
        <sz val="10"/>
        <rFont val="Geneva"/>
        <family val="2"/>
      </rPr>
      <t>=0)</t>
    </r>
  </si>
  <si>
    <t>Berechnung der Hummerpopulationsgröße bei Verwendung der ersten 16 bzw. 15 Fanggelegenheiten</t>
  </si>
  <si>
    <t>In kg betragen sie:</t>
  </si>
  <si>
    <t>Die Populationsgrößen sind in 1000 lb (Pfund) angegeben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</si>
</sst>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name val="Geneva"/>
    </font>
    <font>
      <sz val="10"/>
      <name val="Geneva"/>
      <family val="2"/>
    </font>
    <font>
      <b/>
      <sz val="10"/>
      <name val="Geneva"/>
      <family val="2"/>
    </font>
    <font>
      <sz val="11"/>
      <name val="Calibri"/>
      <family val="2"/>
    </font>
    <font>
      <i/>
      <sz val="11"/>
      <name val="Calibri"/>
      <family val="2"/>
    </font>
    <font>
      <sz val="10"/>
      <name val="Symbol"/>
      <charset val="2"/>
    </font>
    <font>
      <sz val="10"/>
      <name val="Geneva"/>
      <family val="2"/>
      <charset val="2"/>
    </font>
    <font>
      <sz val="11"/>
      <name val="Symbol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29" zoomScale="99" workbookViewId="0">
      <selection activeCell="A47" sqref="A47"/>
    </sheetView>
  </sheetViews>
  <sheetFormatPr baseColWidth="10" defaultRowHeight="14" x14ac:dyDescent="0.2"/>
  <cols>
    <col min="2" max="2" width="12.42578125" customWidth="1"/>
    <col min="3" max="3" width="15.7109375" customWidth="1"/>
    <col min="5" max="5" width="13.5703125" customWidth="1"/>
    <col min="6" max="6" width="17.7109375" customWidth="1"/>
    <col min="8" max="8" width="14.85546875" customWidth="1"/>
    <col min="9" max="9" width="15.7109375" customWidth="1"/>
  </cols>
  <sheetData>
    <row r="1" spans="1:10" x14ac:dyDescent="0.2">
      <c r="A1" s="3" t="s">
        <v>5</v>
      </c>
    </row>
    <row r="2" spans="1:10" x14ac:dyDescent="0.2">
      <c r="A2" s="2" t="s">
        <v>8</v>
      </c>
      <c r="B2" t="s">
        <v>7</v>
      </c>
    </row>
    <row r="3" spans="1:10" x14ac:dyDescent="0.2">
      <c r="A3" s="2"/>
    </row>
    <row r="4" spans="1:10" x14ac:dyDescent="0.2">
      <c r="A4" s="3" t="s">
        <v>27</v>
      </c>
    </row>
    <row r="5" spans="1:10" x14ac:dyDescent="0.2">
      <c r="A5" s="2" t="s">
        <v>17</v>
      </c>
      <c r="B5" s="2" t="s">
        <v>18</v>
      </c>
      <c r="C5" s="2"/>
    </row>
    <row r="6" spans="1:10" ht="15" x14ac:dyDescent="0.2">
      <c r="A6" s="2" t="s">
        <v>11</v>
      </c>
      <c r="B6" s="4" t="s">
        <v>28</v>
      </c>
      <c r="C6" s="4"/>
    </row>
    <row r="7" spans="1:10" ht="15" x14ac:dyDescent="0.2">
      <c r="A7" s="2" t="s">
        <v>4</v>
      </c>
      <c r="B7" s="4" t="s">
        <v>29</v>
      </c>
      <c r="C7" s="4"/>
    </row>
    <row r="8" spans="1:10" x14ac:dyDescent="0.2">
      <c r="A8" s="2" t="s">
        <v>9</v>
      </c>
      <c r="B8" s="2" t="s">
        <v>30</v>
      </c>
      <c r="C8" s="2"/>
    </row>
    <row r="9" spans="1:10" ht="15" x14ac:dyDescent="0.2">
      <c r="A9" s="2" t="s">
        <v>10</v>
      </c>
      <c r="B9" s="4" t="s">
        <v>16</v>
      </c>
      <c r="C9" s="4"/>
    </row>
    <row r="10" spans="1:10" ht="15" x14ac:dyDescent="0.2">
      <c r="A10" s="2" t="s">
        <v>3</v>
      </c>
      <c r="B10" s="4" t="s">
        <v>31</v>
      </c>
      <c r="C10" s="4"/>
    </row>
    <row r="11" spans="1:10" ht="15" x14ac:dyDescent="0.2">
      <c r="A11" s="5" t="s">
        <v>32</v>
      </c>
      <c r="B11" s="4" t="s">
        <v>26</v>
      </c>
      <c r="C11" s="4"/>
    </row>
    <row r="12" spans="1:10" ht="15" x14ac:dyDescent="0.2">
      <c r="A12" s="2" t="s">
        <v>25</v>
      </c>
      <c r="B12" s="4" t="s">
        <v>33</v>
      </c>
      <c r="C12" s="4"/>
    </row>
    <row r="13" spans="1:10" ht="15" x14ac:dyDescent="0.2">
      <c r="A13" s="2"/>
      <c r="B13" s="4"/>
      <c r="C13" s="4"/>
    </row>
    <row r="14" spans="1:10" ht="15" x14ac:dyDescent="0.2">
      <c r="A14" s="2" t="s">
        <v>39</v>
      </c>
      <c r="B14" s="4"/>
      <c r="C14" s="4"/>
    </row>
    <row r="15" spans="1:10" x14ac:dyDescent="0.2">
      <c r="D15" t="s">
        <v>0</v>
      </c>
      <c r="I15" t="s">
        <v>1</v>
      </c>
    </row>
    <row r="16" spans="1:10" x14ac:dyDescent="0.2">
      <c r="A16" s="2" t="s">
        <v>6</v>
      </c>
      <c r="B16" t="s">
        <v>3</v>
      </c>
      <c r="C16" s="2" t="s">
        <v>21</v>
      </c>
      <c r="D16" t="s">
        <v>4</v>
      </c>
      <c r="E16" t="s">
        <v>2</v>
      </c>
      <c r="G16" t="s">
        <v>3</v>
      </c>
      <c r="H16" s="2" t="s">
        <v>21</v>
      </c>
      <c r="I16" t="s">
        <v>4</v>
      </c>
      <c r="J16" t="s">
        <v>2</v>
      </c>
    </row>
    <row r="17" spans="1:10" x14ac:dyDescent="0.2">
      <c r="A17">
        <v>1</v>
      </c>
      <c r="B17">
        <v>6.9950000000000001</v>
      </c>
      <c r="C17">
        <v>0</v>
      </c>
      <c r="D17">
        <v>8.4700000000000006</v>
      </c>
      <c r="E17" s="1">
        <f>D18*B17/B18</f>
        <v>9.28920697316698</v>
      </c>
      <c r="G17">
        <v>6.9950000000000001</v>
      </c>
      <c r="H17">
        <v>0</v>
      </c>
      <c r="I17">
        <v>8.4700000000000006</v>
      </c>
      <c r="J17" s="1">
        <f>I18*G17/G18</f>
        <v>9.28920697316698</v>
      </c>
    </row>
    <row r="18" spans="1:10" x14ac:dyDescent="0.2">
      <c r="A18">
        <v>2</v>
      </c>
      <c r="B18">
        <v>5.851</v>
      </c>
      <c r="C18">
        <f>B17</f>
        <v>6.9950000000000001</v>
      </c>
      <c r="D18">
        <v>7.77</v>
      </c>
      <c r="E18" s="1">
        <f t="shared" ref="E18:E32" si="0">D19*B18/B19</f>
        <v>6.2306519714374424</v>
      </c>
      <c r="G18">
        <v>5.851</v>
      </c>
      <c r="H18">
        <f>G17</f>
        <v>6.9950000000000001</v>
      </c>
      <c r="I18">
        <v>7.77</v>
      </c>
      <c r="J18" s="1">
        <f t="shared" ref="J18:J32" si="1">I19*G18/G19</f>
        <v>6.2306519714374424</v>
      </c>
    </row>
    <row r="19" spans="1:10" x14ac:dyDescent="0.2">
      <c r="A19">
        <v>3</v>
      </c>
      <c r="B19">
        <v>3.2210000000000001</v>
      </c>
      <c r="C19">
        <f>B18+C18</f>
        <v>12.846</v>
      </c>
      <c r="D19">
        <v>3.43</v>
      </c>
      <c r="E19" s="1">
        <f t="shared" si="0"/>
        <v>4.0459211977935379</v>
      </c>
      <c r="G19">
        <v>3.2210000000000001</v>
      </c>
      <c r="H19">
        <f>G18+H18</f>
        <v>12.846</v>
      </c>
      <c r="I19">
        <v>3.43</v>
      </c>
      <c r="J19" s="1">
        <f t="shared" si="1"/>
        <v>4.0459211977935379</v>
      </c>
    </row>
    <row r="20" spans="1:10" x14ac:dyDescent="0.2">
      <c r="A20">
        <v>4</v>
      </c>
      <c r="B20">
        <v>6.3449999999999998</v>
      </c>
      <c r="C20">
        <f t="shared" ref="C20:C33" si="2">B19+C19</f>
        <v>16.067</v>
      </c>
      <c r="D20">
        <v>7.97</v>
      </c>
      <c r="E20" s="1">
        <f t="shared" si="0"/>
        <v>9.9094892915980228</v>
      </c>
      <c r="G20">
        <v>6.3449999999999998</v>
      </c>
      <c r="H20">
        <f t="shared" ref="H20:H32" si="3">G19+H19</f>
        <v>16.067</v>
      </c>
      <c r="I20">
        <v>7.97</v>
      </c>
      <c r="J20" s="1">
        <f t="shared" si="1"/>
        <v>9.9094892915980228</v>
      </c>
    </row>
    <row r="21" spans="1:10" x14ac:dyDescent="0.2">
      <c r="A21">
        <v>5</v>
      </c>
      <c r="B21">
        <v>3.0350000000000001</v>
      </c>
      <c r="C21">
        <f t="shared" si="2"/>
        <v>22.411999999999999</v>
      </c>
      <c r="D21">
        <v>4.74</v>
      </c>
      <c r="E21" s="1">
        <f t="shared" si="0"/>
        <v>3.9414830170626698</v>
      </c>
      <c r="G21">
        <v>3.0350000000000001</v>
      </c>
      <c r="H21">
        <f t="shared" si="3"/>
        <v>22.411999999999999</v>
      </c>
      <c r="I21">
        <v>4.74</v>
      </c>
      <c r="J21" s="1">
        <f t="shared" si="1"/>
        <v>3.9414830170626698</v>
      </c>
    </row>
    <row r="22" spans="1:10" x14ac:dyDescent="0.2">
      <c r="A22">
        <v>6</v>
      </c>
      <c r="B22">
        <v>6.2709999999999999</v>
      </c>
      <c r="C22">
        <f t="shared" si="2"/>
        <v>25.446999999999999</v>
      </c>
      <c r="D22">
        <v>8.1440000000000001</v>
      </c>
      <c r="E22" s="1">
        <f t="shared" si="0"/>
        <v>8.9722498652775275</v>
      </c>
      <c r="G22">
        <v>6.2709999999999999</v>
      </c>
      <c r="H22">
        <f t="shared" si="3"/>
        <v>25.446999999999999</v>
      </c>
      <c r="I22">
        <v>8.1440000000000001</v>
      </c>
      <c r="J22" s="1">
        <f t="shared" si="1"/>
        <v>8.9722498652775275</v>
      </c>
    </row>
    <row r="23" spans="1:10" x14ac:dyDescent="0.2">
      <c r="A23">
        <v>7</v>
      </c>
      <c r="B23">
        <v>5.5670000000000002</v>
      </c>
      <c r="C23">
        <f t="shared" si="2"/>
        <v>31.718</v>
      </c>
      <c r="D23">
        <v>7.9649999999999999</v>
      </c>
      <c r="E23" s="1">
        <f t="shared" si="0"/>
        <v>9.5914040437520729</v>
      </c>
      <c r="G23">
        <v>5.5670000000000002</v>
      </c>
      <c r="H23">
        <f t="shared" si="3"/>
        <v>31.718</v>
      </c>
      <c r="I23">
        <v>7.9649999999999999</v>
      </c>
      <c r="J23" s="1">
        <f t="shared" si="1"/>
        <v>9.5914040437520729</v>
      </c>
    </row>
    <row r="24" spans="1:10" x14ac:dyDescent="0.2">
      <c r="A24">
        <v>8</v>
      </c>
      <c r="B24">
        <v>3.0169999999999999</v>
      </c>
      <c r="C24">
        <f t="shared" si="2"/>
        <v>37.284999999999997</v>
      </c>
      <c r="D24">
        <v>5.1980000000000004</v>
      </c>
      <c r="E24" s="1">
        <f t="shared" si="0"/>
        <v>4.7084788330774296</v>
      </c>
      <c r="G24">
        <v>3.0169999999999999</v>
      </c>
      <c r="H24">
        <f t="shared" si="3"/>
        <v>37.284999999999997</v>
      </c>
      <c r="I24">
        <v>5.1980000000000004</v>
      </c>
      <c r="J24" s="1">
        <f t="shared" si="1"/>
        <v>4.7084788330774296</v>
      </c>
    </row>
    <row r="25" spans="1:10" x14ac:dyDescent="0.2">
      <c r="A25">
        <v>9</v>
      </c>
      <c r="B25">
        <v>4.5590000000000002</v>
      </c>
      <c r="C25">
        <f t="shared" si="2"/>
        <v>40.302</v>
      </c>
      <c r="D25">
        <v>7.1150000000000002</v>
      </c>
      <c r="E25" s="1">
        <f t="shared" si="0"/>
        <v>8.2904077525947901</v>
      </c>
      <c r="G25">
        <v>4.5590000000000002</v>
      </c>
      <c r="H25">
        <f t="shared" si="3"/>
        <v>40.302</v>
      </c>
      <c r="I25">
        <v>7.1150000000000002</v>
      </c>
      <c r="J25" s="1">
        <f t="shared" si="1"/>
        <v>8.2904077525947901</v>
      </c>
    </row>
    <row r="26" spans="1:10" x14ac:dyDescent="0.2">
      <c r="A26">
        <v>10</v>
      </c>
      <c r="B26">
        <v>4.7210000000000001</v>
      </c>
      <c r="C26">
        <f t="shared" si="2"/>
        <v>44.860999999999997</v>
      </c>
      <c r="D26">
        <v>8.5850000000000009</v>
      </c>
      <c r="E26" s="1">
        <f t="shared" si="0"/>
        <v>9.061758926100195</v>
      </c>
      <c r="G26">
        <v>4.7210000000000001</v>
      </c>
      <c r="H26">
        <f t="shared" si="3"/>
        <v>44.860999999999997</v>
      </c>
      <c r="I26">
        <v>8.5850000000000009</v>
      </c>
      <c r="J26" s="1">
        <f t="shared" si="1"/>
        <v>9.061758926100195</v>
      </c>
    </row>
    <row r="27" spans="1:10" x14ac:dyDescent="0.2">
      <c r="A27">
        <v>11</v>
      </c>
      <c r="B27">
        <v>3.613</v>
      </c>
      <c r="C27">
        <f t="shared" si="2"/>
        <v>49.581999999999994</v>
      </c>
      <c r="D27">
        <v>6.9349999999999996</v>
      </c>
      <c r="E27" s="1">
        <f t="shared" si="0"/>
        <v>8.0967864693446092</v>
      </c>
      <c r="G27">
        <v>3.613</v>
      </c>
      <c r="H27">
        <f t="shared" si="3"/>
        <v>49.581999999999994</v>
      </c>
      <c r="I27">
        <v>6.9349999999999996</v>
      </c>
      <c r="J27" s="1">
        <f t="shared" si="1"/>
        <v>8.0967864693446092</v>
      </c>
    </row>
    <row r="28" spans="1:10" x14ac:dyDescent="0.2">
      <c r="A28">
        <v>12</v>
      </c>
      <c r="B28">
        <v>0.47299999999999998</v>
      </c>
      <c r="C28">
        <f t="shared" si="2"/>
        <v>53.194999999999993</v>
      </c>
      <c r="D28">
        <v>1.06</v>
      </c>
      <c r="E28" s="1">
        <f t="shared" si="0"/>
        <v>1.0550754310344825</v>
      </c>
      <c r="G28">
        <v>0.47299999999999998</v>
      </c>
      <c r="H28">
        <f t="shared" si="3"/>
        <v>53.194999999999993</v>
      </c>
      <c r="I28">
        <v>1.06</v>
      </c>
      <c r="J28" s="1">
        <f t="shared" si="1"/>
        <v>1.0550754310344825</v>
      </c>
    </row>
    <row r="29" spans="1:10" x14ac:dyDescent="0.2">
      <c r="A29">
        <v>13</v>
      </c>
      <c r="B29">
        <v>0.92800000000000005</v>
      </c>
      <c r="C29">
        <f t="shared" si="2"/>
        <v>53.667999999999992</v>
      </c>
      <c r="D29">
        <v>2.0699999999999998</v>
      </c>
      <c r="E29" s="1">
        <f t="shared" si="0"/>
        <v>1.9083333333333334</v>
      </c>
      <c r="G29">
        <v>0.92800000000000005</v>
      </c>
      <c r="H29">
        <f t="shared" si="3"/>
        <v>53.667999999999992</v>
      </c>
      <c r="I29">
        <v>2.0699999999999998</v>
      </c>
      <c r="J29" s="1">
        <f t="shared" si="1"/>
        <v>1.9083333333333334</v>
      </c>
    </row>
    <row r="30" spans="1:10" x14ac:dyDescent="0.2">
      <c r="A30">
        <v>14</v>
      </c>
      <c r="B30">
        <v>2.7839999999999998</v>
      </c>
      <c r="C30">
        <f t="shared" si="2"/>
        <v>54.595999999999989</v>
      </c>
      <c r="D30">
        <v>5.7249999999999996</v>
      </c>
      <c r="E30" s="1">
        <f t="shared" si="0"/>
        <v>6.1365221052631576</v>
      </c>
      <c r="G30">
        <v>2.7839999999999998</v>
      </c>
      <c r="H30">
        <f t="shared" si="3"/>
        <v>54.595999999999989</v>
      </c>
      <c r="I30">
        <v>5.7249999999999996</v>
      </c>
      <c r="J30" s="1">
        <f t="shared" si="1"/>
        <v>6.1365221052631576</v>
      </c>
    </row>
    <row r="31" spans="1:10" x14ac:dyDescent="0.2">
      <c r="A31">
        <v>15</v>
      </c>
      <c r="B31">
        <v>2.375</v>
      </c>
      <c r="C31">
        <f t="shared" si="2"/>
        <v>57.379999999999988</v>
      </c>
      <c r="D31">
        <v>5.2350000000000003</v>
      </c>
      <c r="E31" s="1">
        <f t="shared" si="0"/>
        <v>4.9299242424242422</v>
      </c>
      <c r="G31">
        <v>2.375</v>
      </c>
      <c r="H31">
        <f t="shared" si="3"/>
        <v>57.379999999999988</v>
      </c>
      <c r="I31">
        <v>5.2350000000000003</v>
      </c>
      <c r="J31" s="1">
        <f t="shared" si="1"/>
        <v>4.9299242424242422</v>
      </c>
    </row>
    <row r="32" spans="1:10" x14ac:dyDescent="0.2">
      <c r="A32">
        <v>16</v>
      </c>
      <c r="B32">
        <v>2.64</v>
      </c>
      <c r="C32">
        <f t="shared" si="2"/>
        <v>59.754999999999988</v>
      </c>
      <c r="D32">
        <v>5.48</v>
      </c>
      <c r="E32" s="1">
        <f t="shared" si="0"/>
        <v>6.1395348837209314</v>
      </c>
      <c r="G32">
        <v>2.64</v>
      </c>
      <c r="H32">
        <f t="shared" si="3"/>
        <v>59.754999999999988</v>
      </c>
      <c r="I32">
        <v>5.48</v>
      </c>
      <c r="J32" s="1">
        <f t="shared" si="1"/>
        <v>6.1395348837209314</v>
      </c>
    </row>
    <row r="33" spans="1:10" x14ac:dyDescent="0.2">
      <c r="A33">
        <v>17</v>
      </c>
      <c r="B33">
        <v>3.569</v>
      </c>
      <c r="C33">
        <f t="shared" si="2"/>
        <v>62.394999999999989</v>
      </c>
      <c r="D33">
        <v>8.3000000000000007</v>
      </c>
      <c r="E33" s="1"/>
      <c r="G33">
        <v>3.569</v>
      </c>
      <c r="I33">
        <v>8.3000000000000007</v>
      </c>
      <c r="J33" s="1"/>
    </row>
    <row r="34" spans="1:10" x14ac:dyDescent="0.2">
      <c r="A34" s="2" t="s">
        <v>22</v>
      </c>
      <c r="B34">
        <f>SUM(B17:B32)</f>
        <v>62.394999999999989</v>
      </c>
      <c r="E34" s="1">
        <f>SUM(E17:E32)</f>
        <v>102.30722833698141</v>
      </c>
      <c r="G34" s="1">
        <f>SUM(G17:G32)</f>
        <v>62.394999999999989</v>
      </c>
      <c r="J34" s="1">
        <f>SUM(J17:J31)</f>
        <v>96.167693453260483</v>
      </c>
    </row>
    <row r="35" spans="1:10" x14ac:dyDescent="0.2">
      <c r="A35" s="2"/>
      <c r="E35" s="1"/>
      <c r="J35" s="1"/>
    </row>
    <row r="36" spans="1:10" x14ac:dyDescent="0.2">
      <c r="B36" s="2" t="s">
        <v>19</v>
      </c>
      <c r="C36" s="2"/>
      <c r="G36" s="2" t="s">
        <v>20</v>
      </c>
      <c r="H36" s="2"/>
    </row>
    <row r="37" spans="1:10" x14ac:dyDescent="0.2">
      <c r="B37" s="2">
        <f>C33</f>
        <v>62.394999999999989</v>
      </c>
      <c r="C37" s="2"/>
      <c r="G37" s="2">
        <f>H32</f>
        <v>59.754999999999988</v>
      </c>
      <c r="H37" s="2"/>
    </row>
    <row r="39" spans="1:10" x14ac:dyDescent="0.2">
      <c r="A39" s="2" t="s">
        <v>23</v>
      </c>
      <c r="B39" s="2" t="s">
        <v>12</v>
      </c>
      <c r="C39" s="5" t="s">
        <v>34</v>
      </c>
      <c r="D39" s="2" t="s">
        <v>15</v>
      </c>
      <c r="E39" s="2" t="s">
        <v>38</v>
      </c>
      <c r="F39" s="2"/>
      <c r="G39" s="2" t="s">
        <v>24</v>
      </c>
      <c r="H39" s="2" t="s">
        <v>13</v>
      </c>
      <c r="I39" s="5" t="s">
        <v>35</v>
      </c>
      <c r="J39" s="2" t="s">
        <v>14</v>
      </c>
    </row>
    <row r="40" spans="1:10" x14ac:dyDescent="0.2">
      <c r="A40">
        <f>B33/D33*E34</f>
        <v>43.992108184902001</v>
      </c>
      <c r="B40">
        <f>1-B33/D33/(B17/D17)</f>
        <v>0.4793280914939243</v>
      </c>
      <c r="C40">
        <f>C33*(B17-B18*D17/D18)/B40/B17^2-1</f>
        <v>0.64113455207968095</v>
      </c>
      <c r="D40">
        <f>C33/B40+A40*C40/B40</f>
        <v>189.01429351614871</v>
      </c>
      <c r="E40">
        <f>B34/B40</f>
        <v>130.17179903963728</v>
      </c>
      <c r="G40">
        <f>G32/I32*J34</f>
        <v>46.328961809599939</v>
      </c>
      <c r="H40">
        <f>1-G33/I33/(G17/I17)</f>
        <v>0.4793280914939243</v>
      </c>
      <c r="I40">
        <f>G34*(G17-G18*I17/I18)/H40/G17^2-1</f>
        <v>0.64113455207968095</v>
      </c>
      <c r="J40">
        <f>G34/H40+G40*I40/H40</f>
        <v>192.13999724295707</v>
      </c>
    </row>
    <row r="41" spans="1:10" x14ac:dyDescent="0.2">
      <c r="C41" s="6" t="s">
        <v>37</v>
      </c>
      <c r="I41" s="6" t="s">
        <v>36</v>
      </c>
    </row>
    <row r="42" spans="1:10" x14ac:dyDescent="0.2">
      <c r="C42">
        <f>C40^0.5</f>
        <v>0.800708781068174</v>
      </c>
      <c r="I42">
        <f>I40^0.5</f>
        <v>0.800708781068174</v>
      </c>
    </row>
    <row r="44" spans="1:10" x14ac:dyDescent="0.2">
      <c r="A44" s="2" t="s">
        <v>41</v>
      </c>
    </row>
    <row r="45" spans="1:10" x14ac:dyDescent="0.2">
      <c r="A45" s="2" t="s">
        <v>40</v>
      </c>
      <c r="D45">
        <f>D40*0.453592</f>
        <v>85.735371424576925</v>
      </c>
      <c r="E45">
        <f>E40*0.453592</f>
        <v>59.04488666998715</v>
      </c>
      <c r="J45">
        <f>J40*0.453592</f>
        <v>87.153165629427377</v>
      </c>
    </row>
  </sheetData>
  <printOptions gridLines="1" gridLinesSet="0"/>
  <pageMargins left="0.78740157499999996" right="0.78740157499999996" top="0.984251969" bottom="0.984251969" header="0.4921259845" footer="0.4921259845"/>
  <pageSetup paperSize="0" orientation="portrait" horizontalDpi="4294967292" verticalDpi="4294967292"/>
  <headerFooter alignWithMargins="0">
    <oddHeader>&amp;A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4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Tabelle1</vt:lpstr>
      <vt:lpstr>Tabelle2</vt:lpstr>
      <vt:lpstr>Tabelle3</vt:lpstr>
      <vt:lpstr>Tabelle4</vt:lpstr>
      <vt:lpstr>Tabelle5</vt:lpstr>
      <vt:lpstr>Tabelle6</vt:lpstr>
      <vt:lpstr>Tabelle7</vt:lpstr>
      <vt:lpstr>Tabelle8</vt:lpstr>
      <vt:lpstr>Tabelle9</vt:lpstr>
      <vt:lpstr>Tabelle10</vt:lpstr>
      <vt:lpstr>Tabelle11</vt:lpstr>
      <vt:lpstr>Tabelle12</vt:lpstr>
      <vt:lpstr>Tabelle13</vt:lpstr>
      <vt:lpstr>Tabelle14</vt:lpstr>
      <vt:lpstr>Tabelle15</vt:lpstr>
      <vt:lpstr>Tabelle16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2025-04-19T17:12:57Z</dcterms:created>
  <dcterms:modified xsi:type="dcterms:W3CDTF">2025-10-26T12:09:43Z</dcterms:modified>
</cp:coreProperties>
</file>