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FB4607E2-7EF1-E94E-A802-050F94684902}" xr6:coauthVersionLast="47" xr6:coauthVersionMax="47" xr10:uidLastSave="{00000000-0000-0000-0000-000000000000}"/>
  <bookViews>
    <workbookView xWindow="4060" yWindow="780" windowWidth="28240" windowHeight="16140" xr2:uid="{AF5FC842-ACD1-F243-BF56-C82EAFE32E8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" l="1"/>
  <c r="D57" i="1"/>
  <c r="E57" i="1"/>
  <c r="F57" i="1"/>
  <c r="G57" i="1"/>
  <c r="H57" i="1"/>
  <c r="I57" i="1"/>
  <c r="J57" i="1"/>
  <c r="K57" i="1"/>
  <c r="L57" i="1"/>
  <c r="M57" i="1"/>
  <c r="N57" i="1"/>
  <c r="D58" i="1"/>
  <c r="E58" i="1"/>
  <c r="F58" i="1"/>
  <c r="G58" i="1"/>
  <c r="H58" i="1"/>
  <c r="I58" i="1"/>
  <c r="J58" i="1"/>
  <c r="K58" i="1"/>
  <c r="L58" i="1"/>
  <c r="M58" i="1"/>
  <c r="N58" i="1"/>
  <c r="C57" i="1"/>
  <c r="C58" i="1"/>
  <c r="D56" i="1"/>
  <c r="E56" i="1"/>
  <c r="F56" i="1"/>
  <c r="G56" i="1"/>
  <c r="H56" i="1"/>
  <c r="I56" i="1"/>
  <c r="J56" i="1"/>
  <c r="K56" i="1"/>
  <c r="L56" i="1"/>
  <c r="M56" i="1"/>
  <c r="N56" i="1"/>
  <c r="C56" i="1"/>
  <c r="O34" i="1"/>
  <c r="M59" i="1" s="1"/>
  <c r="O25" i="1"/>
  <c r="D59" i="1" s="1"/>
  <c r="O26" i="1"/>
  <c r="E59" i="1" s="1"/>
  <c r="O27" i="1"/>
  <c r="F59" i="1" s="1"/>
  <c r="O28" i="1"/>
  <c r="G59" i="1" s="1"/>
  <c r="O29" i="1"/>
  <c r="H59" i="1" s="1"/>
  <c r="O30" i="1"/>
  <c r="I59" i="1" s="1"/>
  <c r="O31" i="1"/>
  <c r="J59" i="1" s="1"/>
  <c r="O32" i="1"/>
  <c r="K59" i="1" s="1"/>
  <c r="O33" i="1"/>
  <c r="L59" i="1" s="1"/>
  <c r="O24" i="1"/>
  <c r="C59" i="1" s="1"/>
  <c r="N59" i="1" l="1"/>
  <c r="E35" i="1"/>
  <c r="E62" i="1" s="1"/>
  <c r="F35" i="1"/>
  <c r="F62" i="1" s="1"/>
  <c r="G35" i="1"/>
  <c r="G62" i="1" s="1"/>
  <c r="H35" i="1"/>
  <c r="H62" i="1" s="1"/>
  <c r="I35" i="1"/>
  <c r="I62" i="1" s="1"/>
  <c r="J35" i="1"/>
  <c r="J62" i="1" s="1"/>
  <c r="K35" i="1"/>
  <c r="K62" i="1" s="1"/>
  <c r="L35" i="1"/>
  <c r="L62" i="1" s="1"/>
  <c r="M35" i="1"/>
  <c r="M62" i="1" s="1"/>
  <c r="N35" i="1"/>
  <c r="N62" i="1" s="1"/>
  <c r="D35" i="1"/>
  <c r="D62" i="1" s="1"/>
  <c r="E40" i="1" l="1"/>
  <c r="E41" i="1" s="1"/>
  <c r="F40" i="1"/>
  <c r="F41" i="1" s="1"/>
  <c r="G40" i="1"/>
  <c r="G41" i="1" s="1"/>
  <c r="G42" i="1" s="1"/>
  <c r="G43" i="1" s="1"/>
  <c r="H40" i="1"/>
  <c r="H41" i="1" s="1"/>
  <c r="H42" i="1" s="1"/>
  <c r="H43" i="1" s="1"/>
  <c r="I40" i="1"/>
  <c r="I41" i="1" s="1"/>
  <c r="I42" i="1" s="1"/>
  <c r="I43" i="1" s="1"/>
  <c r="I44" i="1" s="1"/>
  <c r="J40" i="1"/>
  <c r="J41" i="1" s="1"/>
  <c r="J42" i="1" s="1"/>
  <c r="J43" i="1" s="1"/>
  <c r="J44" i="1" s="1"/>
  <c r="J45" i="1" s="1"/>
  <c r="K40" i="1"/>
  <c r="K41" i="1" s="1"/>
  <c r="K42" i="1" s="1"/>
  <c r="K43" i="1" s="1"/>
  <c r="K44" i="1" s="1"/>
  <c r="K45" i="1" s="1"/>
  <c r="K46" i="1" s="1"/>
  <c r="L40" i="1"/>
  <c r="L41" i="1" s="1"/>
  <c r="L42" i="1" s="1"/>
  <c r="L43" i="1" s="1"/>
  <c r="L44" i="1" s="1"/>
  <c r="L45" i="1" s="1"/>
  <c r="L46" i="1" s="1"/>
  <c r="L47" i="1" s="1"/>
  <c r="M40" i="1"/>
  <c r="M41" i="1" s="1"/>
  <c r="M42" i="1" s="1"/>
  <c r="M43" i="1" s="1"/>
  <c r="M44" i="1" s="1"/>
  <c r="M45" i="1" s="1"/>
  <c r="M46" i="1" s="1"/>
  <c r="M47" i="1" s="1"/>
  <c r="M48" i="1" s="1"/>
  <c r="N40" i="1"/>
  <c r="N41" i="1" s="1"/>
  <c r="N42" i="1" s="1"/>
  <c r="N43" i="1" s="1"/>
  <c r="N44" i="1" s="1"/>
  <c r="N45" i="1" s="1"/>
  <c r="N46" i="1" s="1"/>
  <c r="N47" i="1" s="1"/>
  <c r="N48" i="1" s="1"/>
  <c r="N49" i="1" s="1"/>
  <c r="D40" i="1"/>
  <c r="O48" i="1" l="1"/>
  <c r="L63" i="1" s="1"/>
  <c r="M49" i="1"/>
  <c r="O44" i="1"/>
  <c r="H63" i="1" s="1"/>
  <c r="I45" i="1"/>
  <c r="O47" i="1"/>
  <c r="K63" i="1" s="1"/>
  <c r="L48" i="1"/>
  <c r="O46" i="1"/>
  <c r="J63" i="1" s="1"/>
  <c r="K47" i="1"/>
  <c r="H44" i="1"/>
  <c r="O43" i="1"/>
  <c r="G63" i="1" s="1"/>
  <c r="O49" i="1"/>
  <c r="M63" i="1" s="1"/>
  <c r="N50" i="1"/>
  <c r="J46" i="1"/>
  <c r="O45" i="1"/>
  <c r="I63" i="1" s="1"/>
  <c r="O41" i="1"/>
  <c r="E63" i="1" s="1"/>
  <c r="O42" i="1"/>
  <c r="F63" i="1" s="1"/>
  <c r="F42" i="1"/>
  <c r="O40" i="1"/>
  <c r="D63" i="1" s="1"/>
  <c r="E61" i="1" l="1"/>
  <c r="E64" i="1" s="1"/>
  <c r="E60" i="1"/>
  <c r="F60" i="1"/>
  <c r="F61" i="1"/>
  <c r="F64" i="1" s="1"/>
  <c r="I61" i="1"/>
  <c r="I64" i="1" s="1"/>
  <c r="I60" i="1"/>
  <c r="K61" i="1"/>
  <c r="K64" i="1" s="1"/>
  <c r="K60" i="1"/>
  <c r="H61" i="1"/>
  <c r="H64" i="1" s="1"/>
  <c r="H60" i="1"/>
  <c r="J60" i="1"/>
  <c r="J61" i="1"/>
  <c r="J64" i="1" s="1"/>
  <c r="M61" i="1"/>
  <c r="M64" i="1" s="1"/>
  <c r="M60" i="1"/>
  <c r="D61" i="1"/>
  <c r="D64" i="1" s="1"/>
  <c r="D60" i="1"/>
  <c r="G60" i="1"/>
  <c r="G61" i="1"/>
  <c r="G64" i="1" s="1"/>
  <c r="L61" i="1"/>
  <c r="L64" i="1" s="1"/>
  <c r="L60" i="1"/>
  <c r="F81" i="1" l="1"/>
  <c r="F83" i="1" s="1"/>
  <c r="G66" i="1"/>
  <c r="G76" i="1"/>
  <c r="G79" i="1" s="1"/>
  <c r="G80" i="1" s="1"/>
  <c r="H75" i="1"/>
  <c r="H77" i="1" s="1"/>
  <c r="H78" i="1" s="1"/>
  <c r="H65" i="1"/>
  <c r="G82" i="1"/>
  <c r="G75" i="1"/>
  <c r="G77" i="1" s="1"/>
  <c r="G78" i="1" s="1"/>
  <c r="F82" i="1"/>
  <c r="G65" i="1"/>
  <c r="C82" i="1"/>
  <c r="D65" i="1"/>
  <c r="D75" i="1"/>
  <c r="D77" i="1" s="1"/>
  <c r="D78" i="1" s="1"/>
  <c r="J82" i="1"/>
  <c r="K65" i="1"/>
  <c r="K75" i="1"/>
  <c r="K77" i="1" s="1"/>
  <c r="K78" i="1" s="1"/>
  <c r="D76" i="1"/>
  <c r="D79" i="1" s="1"/>
  <c r="D80" i="1" s="1"/>
  <c r="D66" i="1"/>
  <c r="C81" i="1"/>
  <c r="K76" i="1"/>
  <c r="K79" i="1" s="1"/>
  <c r="K80" i="1" s="1"/>
  <c r="K66" i="1"/>
  <c r="J81" i="1"/>
  <c r="J83" i="1" s="1"/>
  <c r="M75" i="1"/>
  <c r="M77" i="1" s="1"/>
  <c r="M78" i="1" s="1"/>
  <c r="L82" i="1"/>
  <c r="M65" i="1"/>
  <c r="L88" i="1" s="1"/>
  <c r="I75" i="1"/>
  <c r="I77" i="1" s="1"/>
  <c r="I78" i="1" s="1"/>
  <c r="I65" i="1"/>
  <c r="H82" i="1"/>
  <c r="M76" i="1"/>
  <c r="M79" i="1" s="1"/>
  <c r="M80" i="1" s="1"/>
  <c r="M66" i="1"/>
  <c r="L81" i="1"/>
  <c r="L83" i="1" s="1"/>
  <c r="I76" i="1"/>
  <c r="I79" i="1" s="1"/>
  <c r="I80" i="1" s="1"/>
  <c r="I66" i="1"/>
  <c r="H81" i="1"/>
  <c r="H83" i="1" s="1"/>
  <c r="L65" i="1"/>
  <c r="L75" i="1"/>
  <c r="L77" i="1" s="1"/>
  <c r="L78" i="1" s="1"/>
  <c r="K82" i="1"/>
  <c r="J66" i="1"/>
  <c r="J76" i="1"/>
  <c r="J79" i="1" s="1"/>
  <c r="J80" i="1" s="1"/>
  <c r="I81" i="1"/>
  <c r="I83" i="1" s="1"/>
  <c r="E81" i="1"/>
  <c r="E83" i="1" s="1"/>
  <c r="F66" i="1"/>
  <c r="F76" i="1"/>
  <c r="F79" i="1" s="1"/>
  <c r="F80" i="1" s="1"/>
  <c r="L76" i="1"/>
  <c r="L79" i="1" s="1"/>
  <c r="L80" i="1" s="1"/>
  <c r="K81" i="1"/>
  <c r="K83" i="1" s="1"/>
  <c r="L66" i="1"/>
  <c r="J75" i="1"/>
  <c r="J77" i="1" s="1"/>
  <c r="J78" i="1" s="1"/>
  <c r="J65" i="1"/>
  <c r="I82" i="1"/>
  <c r="F75" i="1"/>
  <c r="F77" i="1" s="1"/>
  <c r="F78" i="1" s="1"/>
  <c r="F65" i="1"/>
  <c r="E82" i="1"/>
  <c r="E65" i="1"/>
  <c r="E75" i="1"/>
  <c r="E77" i="1" s="1"/>
  <c r="E78" i="1" s="1"/>
  <c r="D82" i="1"/>
  <c r="H66" i="1"/>
  <c r="H76" i="1"/>
  <c r="H79" i="1" s="1"/>
  <c r="H80" i="1" s="1"/>
  <c r="G81" i="1"/>
  <c r="G83" i="1" s="1"/>
  <c r="E76" i="1"/>
  <c r="E79" i="1" s="1"/>
  <c r="E80" i="1" s="1"/>
  <c r="D81" i="1"/>
  <c r="D83" i="1" s="1"/>
  <c r="E66" i="1"/>
  <c r="D87" i="1" l="1"/>
  <c r="D89" i="1" s="1"/>
  <c r="D90" i="1" s="1"/>
  <c r="J87" i="1"/>
  <c r="J89" i="1" s="1"/>
  <c r="J90" i="1" s="1"/>
  <c r="H87" i="1"/>
  <c r="H89" i="1" s="1"/>
  <c r="H90" i="1" s="1"/>
  <c r="G87" i="1"/>
  <c r="G89" i="1" s="1"/>
  <c r="G90" i="1" s="1"/>
  <c r="I85" i="1"/>
  <c r="I84" i="1"/>
  <c r="L85" i="1"/>
  <c r="L84" i="1"/>
  <c r="J88" i="1"/>
  <c r="K87" i="1"/>
  <c r="K89" i="1" s="1"/>
  <c r="K90" i="1" s="1"/>
  <c r="I87" i="1"/>
  <c r="I89" i="1" s="1"/>
  <c r="I90" i="1" s="1"/>
  <c r="L87" i="1"/>
  <c r="L89" i="1" s="1"/>
  <c r="L90" i="1" s="1"/>
  <c r="J85" i="1"/>
  <c r="J84" i="1"/>
  <c r="G88" i="1"/>
  <c r="E84" i="1"/>
  <c r="E85" i="1"/>
  <c r="I88" i="1"/>
  <c r="K84" i="1"/>
  <c r="K85" i="1"/>
  <c r="D85" i="1"/>
  <c r="D84" i="1"/>
  <c r="E88" i="1"/>
  <c r="K88" i="1"/>
  <c r="H88" i="1"/>
  <c r="C83" i="1"/>
  <c r="C84" i="1" s="1"/>
  <c r="C85" i="1"/>
  <c r="C86" i="1" s="1"/>
  <c r="F87" i="1"/>
  <c r="F89" i="1" s="1"/>
  <c r="F90" i="1" s="1"/>
  <c r="D88" i="1"/>
  <c r="G84" i="1"/>
  <c r="G85" i="1"/>
  <c r="E87" i="1"/>
  <c r="E89" i="1" s="1"/>
  <c r="E90" i="1" s="1"/>
  <c r="H85" i="1"/>
  <c r="H84" i="1"/>
  <c r="F88" i="1"/>
  <c r="F84" i="1"/>
  <c r="F85" i="1"/>
  <c r="K67" i="1"/>
  <c r="K69" i="1" s="1"/>
  <c r="K72" i="1" s="1"/>
  <c r="G86" i="1"/>
  <c r="E68" i="1"/>
  <c r="E70" i="1" s="1"/>
  <c r="E73" i="1" s="1"/>
  <c r="H86" i="1"/>
  <c r="J86" i="1"/>
  <c r="H67" i="1"/>
  <c r="H69" i="1" s="1"/>
  <c r="H71" i="1" s="1"/>
  <c r="D86" i="1"/>
  <c r="L86" i="1"/>
  <c r="E86" i="1"/>
  <c r="J68" i="1"/>
  <c r="J70" i="1" s="1"/>
  <c r="J74" i="1" s="1"/>
  <c r="I67" i="1"/>
  <c r="I69" i="1" s="1"/>
  <c r="I72" i="1" s="1"/>
  <c r="D67" i="1"/>
  <c r="D69" i="1" s="1"/>
  <c r="D72" i="1" s="1"/>
  <c r="F86" i="1"/>
  <c r="L68" i="1"/>
  <c r="L70" i="1" s="1"/>
  <c r="L74" i="1" s="1"/>
  <c r="M68" i="1"/>
  <c r="M70" i="1" s="1"/>
  <c r="M74" i="1" s="1"/>
  <c r="F67" i="1"/>
  <c r="F69" i="1" s="1"/>
  <c r="F72" i="1" s="1"/>
  <c r="K68" i="1"/>
  <c r="K70" i="1" s="1"/>
  <c r="K73" i="1" s="1"/>
  <c r="G68" i="1"/>
  <c r="G70" i="1" s="1"/>
  <c r="G73" i="1" s="1"/>
  <c r="E67" i="1"/>
  <c r="E69" i="1" s="1"/>
  <c r="E72" i="1" s="1"/>
  <c r="K86" i="1"/>
  <c r="L67" i="1"/>
  <c r="L69" i="1" s="1"/>
  <c r="L71" i="1" s="1"/>
  <c r="F68" i="1"/>
  <c r="F70" i="1" s="1"/>
  <c r="F73" i="1" s="1"/>
  <c r="I86" i="1"/>
  <c r="I68" i="1"/>
  <c r="I70" i="1" s="1"/>
  <c r="I73" i="1" s="1"/>
  <c r="H68" i="1"/>
  <c r="H70" i="1" s="1"/>
  <c r="H73" i="1" s="1"/>
  <c r="J67" i="1"/>
  <c r="J69" i="1" s="1"/>
  <c r="J71" i="1" s="1"/>
  <c r="M67" i="1"/>
  <c r="M69" i="1" s="1"/>
  <c r="M72" i="1" s="1"/>
  <c r="D68" i="1"/>
  <c r="D70" i="1" s="1"/>
  <c r="D73" i="1" s="1"/>
  <c r="G67" i="1"/>
  <c r="G69" i="1" s="1"/>
  <c r="G72" i="1" s="1"/>
  <c r="K74" i="1" l="1"/>
  <c r="M71" i="1"/>
  <c r="I74" i="1"/>
  <c r="G71" i="1"/>
  <c r="J72" i="1"/>
  <c r="K71" i="1"/>
  <c r="H74" i="1"/>
  <c r="E71" i="1"/>
  <c r="I71" i="1"/>
  <c r="F74" i="1"/>
  <c r="J73" i="1"/>
  <c r="M73" i="1"/>
  <c r="D71" i="1"/>
  <c r="D74" i="1"/>
  <c r="L73" i="1"/>
  <c r="H72" i="1"/>
  <c r="L72" i="1"/>
  <c r="G74" i="1"/>
  <c r="F71" i="1"/>
  <c r="E74" i="1"/>
</calcChain>
</file>

<file path=xl/sharedStrings.xml><?xml version="1.0" encoding="utf-8"?>
<sst xmlns="http://schemas.openxmlformats.org/spreadsheetml/2006/main" count="147" uniqueCount="80">
  <si>
    <t>—</t>
  </si>
  <si>
    <t>rj</t>
  </si>
  <si>
    <t>j</t>
  </si>
  <si>
    <t>Summe</t>
  </si>
  <si>
    <t>i</t>
  </si>
  <si>
    <t>ni</t>
  </si>
  <si>
    <t>Ri</t>
  </si>
  <si>
    <t>i/j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</si>
  <si>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</si>
  <si>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</si>
  <si>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</si>
  <si>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</si>
  <si>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</si>
  <si>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</si>
  <si>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</si>
  <si>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</si>
  <si>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</si>
  <si>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</si>
  <si>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VarNG (adjusted)</t>
  </si>
  <si>
    <t>B</t>
  </si>
  <si>
    <t>B (adjusted)</t>
  </si>
  <si>
    <t>Mi (bias adjusted)</t>
  </si>
  <si>
    <t>Mi</t>
  </si>
  <si>
    <t>mi</t>
  </si>
  <si>
    <t>zi</t>
  </si>
  <si>
    <t>90%-CI oben (adjusted)</t>
  </si>
  <si>
    <t>90%-CI unten (adjusted)</t>
  </si>
  <si>
    <t>90%-CI unten</t>
  </si>
  <si>
    <t>90%-CI oben</t>
  </si>
  <si>
    <r>
      <rPr>
        <sz val="12"/>
        <color theme="1"/>
        <rFont val="Symbol"/>
        <charset val="2"/>
      </rPr>
      <t>f</t>
    </r>
    <r>
      <rPr>
        <sz val="12"/>
        <color theme="1"/>
        <rFont val="Calibri"/>
        <family val="2"/>
        <scheme val="minor"/>
      </rPr>
      <t>i (adjusted)</t>
    </r>
  </si>
  <si>
    <t>pi (adjusted)</t>
  </si>
  <si>
    <t>pi</t>
  </si>
  <si>
    <t>Var (pi) adjusted</t>
  </si>
  <si>
    <t>Var (pi)</t>
  </si>
  <si>
    <r>
      <rPr>
        <sz val="12"/>
        <color theme="1"/>
        <rFont val="Symbol"/>
        <charset val="2"/>
      </rPr>
      <t>f</t>
    </r>
    <r>
      <rPr>
        <sz val="12"/>
        <color theme="1"/>
        <rFont val="Calibri"/>
        <family val="2"/>
        <scheme val="minor"/>
      </rPr>
      <t>i</t>
    </r>
  </si>
  <si>
    <r>
      <t>Var (</t>
    </r>
    <r>
      <rPr>
        <sz val="12"/>
        <color theme="1"/>
        <rFont val="Symbol"/>
        <charset val="2"/>
      </rPr>
      <t>f</t>
    </r>
    <r>
      <rPr>
        <sz val="12"/>
        <color theme="1"/>
        <rFont val="Calibri"/>
        <family val="2"/>
        <scheme val="minor"/>
      </rPr>
      <t>i) (sampling)</t>
    </r>
  </si>
  <si>
    <t>Ni (adjusted)</t>
  </si>
  <si>
    <t>Ni</t>
  </si>
  <si>
    <t>Var Ni</t>
  </si>
  <si>
    <t>Var (B)</t>
  </si>
  <si>
    <t>Var (Mi)</t>
  </si>
  <si>
    <t>Datenquelle</t>
  </si>
  <si>
    <r>
      <t xml:space="preserve">Parr, M.J. (1965): A population study of a colony of imaginal </t>
    </r>
    <r>
      <rPr>
        <i/>
        <sz val="11"/>
        <color theme="1"/>
        <rFont val="Calibri"/>
        <family val="2"/>
        <scheme val="minor"/>
      </rPr>
      <t>Ischnura elegans</t>
    </r>
    <r>
      <rPr>
        <sz val="11"/>
        <color theme="1"/>
        <rFont val="Calibri"/>
        <family val="2"/>
        <scheme val="minor"/>
      </rPr>
      <t xml:space="preserve"> (van der Linden) (Odonata: Coenagriidae) at Dale, Pembrokeshire. – Field Studies 2: 237–282</t>
    </r>
  </si>
  <si>
    <t>i und j</t>
  </si>
  <si>
    <t>Fanggelegenheit</t>
  </si>
  <si>
    <t>Anzahl bei Fanggelegenheit i gefangener Libellen</t>
  </si>
  <si>
    <t>Anzahl bei Fanggelegenheit i freigelassener Libellen</t>
  </si>
  <si>
    <r>
      <t xml:space="preserve">Anzahl markierter Individuen, die bei der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-ten Erfassung wiedergefangen/festgestellt wurden</t>
    </r>
  </si>
  <si>
    <t>Summe (mi)</t>
  </si>
  <si>
    <r>
      <rPr>
        <sz val="11"/>
        <color theme="1"/>
        <rFont val="Calibri"/>
        <family val="2"/>
        <scheme val="minor"/>
      </rPr>
      <t xml:space="preserve">Anzahl Tiere, die vor der Fanggelegenheit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markiert und bei Fanggelegenheit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nicht, jedoch bei einer späteren Fanggelegenheit wiedergefangen wurden. Die blauen Werte werden bei der Summe ignoriert.</t>
    </r>
  </si>
  <si>
    <t>Tabellarische Berechnung von mi und rj</t>
  </si>
  <si>
    <t>Tab. 11.3</t>
  </si>
  <si>
    <t>Tabellarische Berechnung von zi+1</t>
  </si>
  <si>
    <t>Berechnung der geschätzten Populationsparameter</t>
  </si>
  <si>
    <r>
      <t xml:space="preserve">Anzahl markierter Tiere, die sich zum Zeitpunkt der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-ten Erfassung in der Population befinden</t>
    </r>
  </si>
  <si>
    <t>Tab. 11.2</t>
  </si>
  <si>
    <t>Tab. 11.4</t>
  </si>
  <si>
    <t>s.e. (Ni) (adjusted)</t>
  </si>
  <si>
    <t xml:space="preserve">s.e. (Ni) </t>
  </si>
  <si>
    <t>s.e.</t>
  </si>
  <si>
    <t>s.e. (pi) (adjusted)</t>
  </si>
  <si>
    <t>Fangwahrscheinlichkeit bei Fanggelegenheit i</t>
  </si>
  <si>
    <r>
      <t xml:space="preserve">Überlebenswahrscheinlichkeit aller Tiere zwischen der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-ten und (</t>
    </r>
    <r>
      <rPr>
        <i/>
        <sz val="11"/>
        <color theme="1"/>
        <rFont val="Calibri"/>
        <family val="2"/>
        <scheme val="minor"/>
      </rPr>
      <t>i+</t>
    </r>
    <r>
      <rPr>
        <sz val="11"/>
        <color theme="1"/>
        <rFont val="Calibri"/>
        <family val="2"/>
        <scheme val="minor"/>
      </rPr>
      <t>1)-ten Erfassung</t>
    </r>
  </si>
  <si>
    <r>
      <t xml:space="preserve">Gesamtzahl der Exemplare, die zwischen der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-ten und (</t>
    </r>
    <r>
      <rPr>
        <i/>
        <sz val="11"/>
        <color theme="1"/>
        <rFont val="Calibri"/>
        <family val="2"/>
        <scheme val="minor"/>
      </rPr>
      <t>i+</t>
    </r>
    <r>
      <rPr>
        <sz val="11"/>
        <color theme="1"/>
        <rFont val="Calibri"/>
        <family val="2"/>
        <scheme val="minor"/>
      </rPr>
      <t>1)-ten Erfassung zur Population neu hinzugekommen sind und zum Zeitpunkt der (</t>
    </r>
    <r>
      <rPr>
        <i/>
        <sz val="11"/>
        <color theme="1"/>
        <rFont val="Calibri"/>
        <family val="2"/>
        <scheme val="minor"/>
      </rPr>
      <t>i+</t>
    </r>
    <r>
      <rPr>
        <sz val="11"/>
        <color theme="1"/>
        <rFont val="Calibri"/>
        <family val="2"/>
        <scheme val="minor"/>
      </rPr>
      <t>1)-ten Erfassung sich noch in der Population befinden</t>
    </r>
  </si>
  <si>
    <t>Bi</t>
  </si>
  <si>
    <t>Striche bedeuten, dass die Werte nicht berechnet werden können</t>
  </si>
  <si>
    <r>
      <t xml:space="preserve">Anzahl Individuen von </t>
    </r>
    <r>
      <rPr>
        <i/>
        <sz val="11"/>
        <color theme="1"/>
        <rFont val="Calibri"/>
        <family val="2"/>
        <scheme val="minor"/>
      </rPr>
      <t>R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, die zum Zeitpunkt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freigelassen und bei einem späteren Fangtermin wiedergefangen wurden</t>
    </r>
  </si>
  <si>
    <r>
      <t>Var (</t>
    </r>
    <r>
      <rPr>
        <sz val="12"/>
        <color theme="1"/>
        <rFont val="Symbol"/>
        <charset val="2"/>
      </rPr>
      <t>f</t>
    </r>
    <r>
      <rPr>
        <sz val="12"/>
        <color theme="1"/>
        <rFont val="Calibri"/>
        <family val="2"/>
        <scheme val="minor"/>
      </rPr>
      <t>i) (from sampling and survival)</t>
    </r>
  </si>
  <si>
    <r>
      <t>s.f. (</t>
    </r>
    <r>
      <rPr>
        <sz val="12"/>
        <color theme="1"/>
        <rFont val="Symbol"/>
        <charset val="2"/>
      </rPr>
      <t>f</t>
    </r>
    <r>
      <rPr>
        <sz val="12"/>
        <color theme="1"/>
        <rFont val="Calibri"/>
        <family val="2"/>
        <scheme val="minor"/>
      </rPr>
      <t>i) (from sampling+survival)</t>
    </r>
  </si>
  <si>
    <t>Standardfehler</t>
  </si>
  <si>
    <t>Parameterdefinitionen</t>
  </si>
  <si>
    <t>Geschätzte Populationsgröße zum Zeitpunkt der i-ten Erfassung</t>
  </si>
  <si>
    <t>CI</t>
  </si>
  <si>
    <t>s.e. (B)</t>
  </si>
  <si>
    <r>
      <t>s.e. (</t>
    </r>
    <r>
      <rPr>
        <sz val="12"/>
        <color theme="1"/>
        <rFont val="Symbol"/>
        <charset val="2"/>
      </rPr>
      <t>f</t>
    </r>
    <r>
      <rPr>
        <sz val="12"/>
        <color theme="1"/>
        <rFont val="Calibri"/>
        <family val="2"/>
        <scheme val="minor"/>
      </rPr>
      <t>i) (sampling)</t>
    </r>
  </si>
  <si>
    <t>s.e. (pi)</t>
  </si>
  <si>
    <t>Vertrauenintervall</t>
  </si>
  <si>
    <t>Tabelle 11.4 im Buch ist ein Auszug aus diese Tabelle; die Populationsparameter werden hier sowohl mitden Formeln für (adjusted) und ohne Bias-Korrektur berechnet</t>
  </si>
  <si>
    <t>Die Varianz für die Überlebensrate wird sowohl bezogen auf die Erfassung (sampling) als auch auf Erfassung plus Überlebensprozess (survival) berechnet</t>
  </si>
  <si>
    <r>
      <t>Tab. 11.2-11.4, Beispiel 11.1 Erstellung von Fangstatistiken zur Schätzung der Populationsgröße und Überlebensrate der Großen Pechlibelle (</t>
    </r>
    <r>
      <rPr>
        <b/>
        <i/>
        <sz val="12"/>
        <color theme="1"/>
        <rFont val="Times New Roman"/>
        <family val="1"/>
      </rPr>
      <t>Ischnura elegans</t>
    </r>
    <r>
      <rPr>
        <b/>
        <sz val="12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</si>
</sst>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rgb="FF0070C0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Symbol"/>
      <charset val="2"/>
    </font>
    <font>
      <sz val="12"/>
      <color theme="1"/>
      <name val="Calibri (Textkörper)"/>
    </font>
    <font>
      <sz val="12"/>
      <color theme="1"/>
      <name val="Calibri"/>
      <family val="2"/>
      <charset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vertical="center" wrapText="1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164" fontId="0" fillId="0" borderId="0" xfId="0" applyNumberFormat="1"/>
    <xf numFmtId="2" fontId="0" fillId="0" borderId="0" xfId="0" applyNumberFormat="1" applyProtection="1"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10" fillId="0" borderId="0" xfId="0" applyFont="1"/>
    <xf numFmtId="0" fontId="1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C2D4-4E79-7041-B5D8-514672AAD27D}">
  <dimension ref="A1:R91"/>
  <sheetViews>
    <sheetView tabSelected="1" workbookViewId="0"/>
  </sheetViews>
  <sheetFormatPr baseColWidth="10" defaultRowHeight="16" x14ac:dyDescent="0.2"/>
  <cols>
    <col min="2" max="2" width="21.1640625" customWidth="1"/>
  </cols>
  <sheetData>
    <row r="1" spans="1:18" x14ac:dyDescent="0.2">
      <c r="A1" s="2" t="s">
        <v>79</v>
      </c>
    </row>
    <row r="2" spans="1:18" x14ac:dyDescent="0.2">
      <c r="A2" t="s">
        <v>41</v>
      </c>
      <c r="B2" s="12" t="s">
        <v>42</v>
      </c>
      <c r="Q2" s="1"/>
      <c r="R2" s="1"/>
    </row>
    <row r="3" spans="1:18" x14ac:dyDescent="0.2">
      <c r="B3" s="12"/>
      <c r="Q3" s="1"/>
      <c r="R3" s="1"/>
    </row>
    <row r="4" spans="1:18" x14ac:dyDescent="0.2">
      <c r="A4" s="3" t="s">
        <v>70</v>
      </c>
      <c r="Q4" s="1"/>
      <c r="R4" s="1"/>
    </row>
    <row r="5" spans="1:18" x14ac:dyDescent="0.2">
      <c r="A5" t="s">
        <v>64</v>
      </c>
      <c r="B5" s="12" t="s">
        <v>63</v>
      </c>
      <c r="Q5" s="1"/>
      <c r="R5" s="1"/>
    </row>
    <row r="6" spans="1:18" x14ac:dyDescent="0.2">
      <c r="A6" t="s">
        <v>72</v>
      </c>
      <c r="B6" s="12" t="s">
        <v>76</v>
      </c>
      <c r="Q6" s="1"/>
      <c r="R6" s="1"/>
    </row>
    <row r="7" spans="1:18" x14ac:dyDescent="0.2">
      <c r="A7" t="s">
        <v>43</v>
      </c>
      <c r="B7" t="s">
        <v>44</v>
      </c>
      <c r="Q7" s="1"/>
      <c r="R7" s="1"/>
    </row>
    <row r="8" spans="1:18" x14ac:dyDescent="0.2">
      <c r="A8" t="s">
        <v>5</v>
      </c>
      <c r="B8" t="s">
        <v>45</v>
      </c>
      <c r="Q8" s="1"/>
      <c r="R8" s="1"/>
    </row>
    <row r="9" spans="1:18" x14ac:dyDescent="0.2">
      <c r="A9" t="s">
        <v>6</v>
      </c>
      <c r="B9" t="s">
        <v>46</v>
      </c>
      <c r="Q9" s="1"/>
      <c r="R9" s="1"/>
    </row>
    <row r="10" spans="1:18" ht="17" x14ac:dyDescent="0.25">
      <c r="A10" t="s">
        <v>1</v>
      </c>
      <c r="B10" s="12" t="s">
        <v>66</v>
      </c>
      <c r="Q10" s="1"/>
      <c r="R10" s="1"/>
    </row>
    <row r="11" spans="1:18" x14ac:dyDescent="0.2">
      <c r="A11" t="s">
        <v>23</v>
      </c>
      <c r="B11" s="12" t="s">
        <v>47</v>
      </c>
      <c r="Q11" s="1"/>
      <c r="R11" s="1"/>
    </row>
    <row r="12" spans="1:18" x14ac:dyDescent="0.2">
      <c r="A12" t="s">
        <v>22</v>
      </c>
      <c r="B12" s="12" t="s">
        <v>54</v>
      </c>
      <c r="Q12" s="1"/>
      <c r="R12" s="1"/>
    </row>
    <row r="13" spans="1:18" x14ac:dyDescent="0.2">
      <c r="A13" t="s">
        <v>37</v>
      </c>
      <c r="B13" s="12" t="s">
        <v>71</v>
      </c>
      <c r="Q13" s="1"/>
      <c r="R13" s="1"/>
    </row>
    <row r="14" spans="1:18" x14ac:dyDescent="0.2">
      <c r="A14" t="s">
        <v>31</v>
      </c>
      <c r="B14" s="12" t="s">
        <v>61</v>
      </c>
      <c r="Q14" s="1"/>
      <c r="R14" s="1"/>
    </row>
    <row r="15" spans="1:18" x14ac:dyDescent="0.2">
      <c r="A15" s="10" t="s">
        <v>34</v>
      </c>
      <c r="B15" s="12" t="s">
        <v>62</v>
      </c>
      <c r="Q15" s="1"/>
      <c r="R15" s="1"/>
    </row>
    <row r="16" spans="1:18" x14ac:dyDescent="0.2">
      <c r="A16" t="s">
        <v>59</v>
      </c>
      <c r="B16" s="12" t="s">
        <v>69</v>
      </c>
      <c r="Q16" s="1"/>
      <c r="R16" s="1"/>
    </row>
    <row r="17" spans="1:18" x14ac:dyDescent="0.2">
      <c r="A17" t="s">
        <v>24</v>
      </c>
      <c r="B17" s="13" t="s">
        <v>49</v>
      </c>
      <c r="Q17" s="1"/>
      <c r="R17" s="1"/>
    </row>
    <row r="18" spans="1:18" x14ac:dyDescent="0.2">
      <c r="Q18" s="1"/>
      <c r="R18" s="1"/>
    </row>
    <row r="19" spans="1:18" x14ac:dyDescent="0.2">
      <c r="A19" s="2" t="s">
        <v>55</v>
      </c>
      <c r="B19" s="3" t="s">
        <v>50</v>
      </c>
      <c r="Q19" s="1"/>
      <c r="R19" s="1"/>
    </row>
    <row r="20" spans="1:18" x14ac:dyDescent="0.2">
      <c r="B20" s="3" t="s">
        <v>4</v>
      </c>
      <c r="C20" s="5">
        <v>1</v>
      </c>
      <c r="D20" s="5">
        <v>2</v>
      </c>
      <c r="E20" s="5">
        <v>3</v>
      </c>
      <c r="F20" s="5">
        <v>4</v>
      </c>
      <c r="G20" s="5">
        <v>5</v>
      </c>
      <c r="H20" s="5">
        <v>6</v>
      </c>
      <c r="I20" s="5">
        <v>7</v>
      </c>
      <c r="J20" s="5">
        <v>8</v>
      </c>
      <c r="K20" s="5">
        <v>9</v>
      </c>
      <c r="L20" s="5">
        <v>10</v>
      </c>
      <c r="M20" s="5">
        <v>11</v>
      </c>
      <c r="N20" s="5">
        <v>12</v>
      </c>
    </row>
    <row r="21" spans="1:18" x14ac:dyDescent="0.2">
      <c r="B21" s="3" t="s">
        <v>5</v>
      </c>
      <c r="C21" s="1">
        <v>78</v>
      </c>
      <c r="D21" s="1">
        <v>55</v>
      </c>
      <c r="E21" s="1">
        <v>63</v>
      </c>
      <c r="F21" s="1">
        <v>58</v>
      </c>
      <c r="G21" s="1">
        <v>50</v>
      </c>
      <c r="H21" s="1">
        <v>45</v>
      </c>
      <c r="I21" s="1">
        <v>83</v>
      </c>
      <c r="J21" s="1">
        <v>67</v>
      </c>
      <c r="K21" s="1">
        <v>63</v>
      </c>
      <c r="L21" s="1">
        <v>94</v>
      </c>
      <c r="M21" s="1">
        <v>82</v>
      </c>
      <c r="N21" s="1">
        <v>31</v>
      </c>
    </row>
    <row r="22" spans="1:18" x14ac:dyDescent="0.2">
      <c r="B22" s="3" t="s">
        <v>6</v>
      </c>
      <c r="C22" s="1">
        <v>77</v>
      </c>
      <c r="D22" s="1">
        <v>53</v>
      </c>
      <c r="E22" s="1">
        <v>62</v>
      </c>
      <c r="F22" s="1">
        <v>58</v>
      </c>
      <c r="G22" s="1">
        <v>50</v>
      </c>
      <c r="H22" s="1">
        <v>45</v>
      </c>
      <c r="I22" s="1">
        <v>83</v>
      </c>
      <c r="J22" s="1">
        <v>67</v>
      </c>
      <c r="K22" s="1">
        <v>63</v>
      </c>
      <c r="L22" s="1">
        <v>94</v>
      </c>
      <c r="M22" s="1">
        <v>81</v>
      </c>
      <c r="N22" s="1" t="s">
        <v>0</v>
      </c>
      <c r="O22" s="3" t="s">
        <v>3</v>
      </c>
    </row>
    <row r="23" spans="1:18" x14ac:dyDescent="0.2">
      <c r="A23" s="3" t="s">
        <v>2</v>
      </c>
      <c r="O23" s="3" t="s">
        <v>1</v>
      </c>
    </row>
    <row r="24" spans="1:18" x14ac:dyDescent="0.2">
      <c r="A24" s="3">
        <v>1</v>
      </c>
      <c r="D24" s="1">
        <v>3</v>
      </c>
      <c r="E24" s="1">
        <v>5</v>
      </c>
      <c r="F24" s="1">
        <v>1</v>
      </c>
      <c r="G24" s="1">
        <v>1</v>
      </c>
      <c r="H24" s="1">
        <v>0</v>
      </c>
      <c r="I24" s="1">
        <v>2</v>
      </c>
      <c r="J24" s="1">
        <v>1</v>
      </c>
      <c r="K24" s="1">
        <v>2</v>
      </c>
      <c r="L24" s="1">
        <v>2</v>
      </c>
      <c r="M24" s="1">
        <v>1</v>
      </c>
      <c r="N24" s="1">
        <v>0</v>
      </c>
      <c r="O24" s="5">
        <f>SUM(D24:N24)</f>
        <v>18</v>
      </c>
    </row>
    <row r="25" spans="1:18" x14ac:dyDescent="0.2">
      <c r="A25" s="3">
        <v>2</v>
      </c>
      <c r="E25" s="1">
        <v>1</v>
      </c>
      <c r="F25" s="1">
        <v>4</v>
      </c>
      <c r="G25" s="1">
        <v>0</v>
      </c>
      <c r="H25" s="1">
        <v>1</v>
      </c>
      <c r="I25" s="1">
        <v>2</v>
      </c>
      <c r="J25" s="1">
        <v>1</v>
      </c>
      <c r="K25" s="1">
        <v>1</v>
      </c>
      <c r="L25" s="1">
        <v>0</v>
      </c>
      <c r="M25" s="1">
        <v>0</v>
      </c>
      <c r="N25" s="1">
        <v>0</v>
      </c>
      <c r="O25" s="5">
        <f t="shared" ref="O25:O34" si="0">SUM(D25:N25)</f>
        <v>10</v>
      </c>
    </row>
    <row r="26" spans="1:18" x14ac:dyDescent="0.2">
      <c r="A26" s="3">
        <v>3</v>
      </c>
      <c r="F26" s="1">
        <v>10</v>
      </c>
      <c r="G26" s="1">
        <v>5</v>
      </c>
      <c r="H26" s="1">
        <v>2</v>
      </c>
      <c r="I26" s="1">
        <v>2</v>
      </c>
      <c r="J26" s="1">
        <v>2</v>
      </c>
      <c r="K26" s="1">
        <v>0</v>
      </c>
      <c r="L26" s="1">
        <v>0</v>
      </c>
      <c r="M26" s="1">
        <v>2</v>
      </c>
      <c r="N26" s="1">
        <v>0</v>
      </c>
      <c r="O26" s="5">
        <f t="shared" si="0"/>
        <v>23</v>
      </c>
    </row>
    <row r="27" spans="1:18" x14ac:dyDescent="0.2">
      <c r="A27" s="3">
        <v>4</v>
      </c>
      <c r="G27" s="1">
        <v>2</v>
      </c>
      <c r="H27" s="1">
        <v>1</v>
      </c>
      <c r="I27" s="1">
        <v>5</v>
      </c>
      <c r="J27" s="1">
        <v>3</v>
      </c>
      <c r="K27" s="1">
        <v>1</v>
      </c>
      <c r="L27" s="1">
        <v>2</v>
      </c>
      <c r="M27" s="1">
        <v>0</v>
      </c>
      <c r="N27" s="1">
        <v>0</v>
      </c>
      <c r="O27" s="5">
        <f t="shared" si="0"/>
        <v>14</v>
      </c>
    </row>
    <row r="28" spans="1:18" x14ac:dyDescent="0.2">
      <c r="A28" s="3">
        <v>5</v>
      </c>
      <c r="H28" s="1">
        <v>6</v>
      </c>
      <c r="I28" s="1">
        <v>5</v>
      </c>
      <c r="J28" s="1">
        <v>3</v>
      </c>
      <c r="K28" s="1">
        <v>4</v>
      </c>
      <c r="L28" s="1">
        <v>1</v>
      </c>
      <c r="M28" s="1">
        <v>1</v>
      </c>
      <c r="N28" s="1">
        <v>0</v>
      </c>
      <c r="O28" s="5">
        <f t="shared" si="0"/>
        <v>20</v>
      </c>
    </row>
    <row r="29" spans="1:18" x14ac:dyDescent="0.2">
      <c r="A29" s="3">
        <v>6</v>
      </c>
      <c r="I29" s="1">
        <v>7</v>
      </c>
      <c r="J29" s="1">
        <v>3</v>
      </c>
      <c r="K29" s="1">
        <v>2</v>
      </c>
      <c r="L29" s="1">
        <v>1</v>
      </c>
      <c r="M29" s="1">
        <v>0</v>
      </c>
      <c r="N29" s="1">
        <v>0</v>
      </c>
      <c r="O29" s="5">
        <f t="shared" si="0"/>
        <v>13</v>
      </c>
    </row>
    <row r="30" spans="1:18" x14ac:dyDescent="0.2">
      <c r="A30" s="3">
        <v>7</v>
      </c>
      <c r="J30" s="1">
        <v>6</v>
      </c>
      <c r="K30" s="1">
        <v>7</v>
      </c>
      <c r="L30" s="1">
        <v>10</v>
      </c>
      <c r="M30" s="1">
        <v>2</v>
      </c>
      <c r="N30" s="1">
        <v>2</v>
      </c>
      <c r="O30" s="5">
        <f t="shared" si="0"/>
        <v>27</v>
      </c>
    </row>
    <row r="31" spans="1:18" x14ac:dyDescent="0.2">
      <c r="A31" s="3">
        <v>8</v>
      </c>
      <c r="K31" s="1">
        <v>10</v>
      </c>
      <c r="L31" s="1">
        <v>5</v>
      </c>
      <c r="M31" s="1">
        <v>4</v>
      </c>
      <c r="N31" s="1">
        <v>1</v>
      </c>
      <c r="O31" s="5">
        <f t="shared" si="0"/>
        <v>20</v>
      </c>
    </row>
    <row r="32" spans="1:18" x14ac:dyDescent="0.2">
      <c r="A32" s="3">
        <v>9</v>
      </c>
      <c r="L32" s="1">
        <v>8</v>
      </c>
      <c r="M32" s="1">
        <v>2</v>
      </c>
      <c r="N32" s="1">
        <v>0</v>
      </c>
      <c r="O32" s="5">
        <f t="shared" si="0"/>
        <v>10</v>
      </c>
    </row>
    <row r="33" spans="1:16" x14ac:dyDescent="0.2">
      <c r="A33" s="3">
        <v>10</v>
      </c>
      <c r="M33" s="1">
        <v>12</v>
      </c>
      <c r="N33" s="1">
        <v>1</v>
      </c>
      <c r="O33" s="5">
        <f t="shared" si="0"/>
        <v>13</v>
      </c>
    </row>
    <row r="34" spans="1:16" x14ac:dyDescent="0.2">
      <c r="A34" s="3">
        <v>11</v>
      </c>
      <c r="N34" s="1">
        <v>2</v>
      </c>
      <c r="O34" s="5">
        <f t="shared" si="0"/>
        <v>2</v>
      </c>
    </row>
    <row r="35" spans="1:16" x14ac:dyDescent="0.2">
      <c r="A35" s="3" t="s">
        <v>48</v>
      </c>
      <c r="C35">
        <v>0</v>
      </c>
      <c r="D35">
        <f>SUM(D24:D34)</f>
        <v>3</v>
      </c>
      <c r="E35">
        <f t="shared" ref="E35:N35" si="1">SUM(E24:E34)</f>
        <v>6</v>
      </c>
      <c r="F35">
        <f t="shared" si="1"/>
        <v>15</v>
      </c>
      <c r="G35">
        <f t="shared" si="1"/>
        <v>8</v>
      </c>
      <c r="H35">
        <f t="shared" si="1"/>
        <v>10</v>
      </c>
      <c r="I35">
        <f t="shared" si="1"/>
        <v>23</v>
      </c>
      <c r="J35">
        <f t="shared" si="1"/>
        <v>19</v>
      </c>
      <c r="K35">
        <f t="shared" si="1"/>
        <v>27</v>
      </c>
      <c r="L35">
        <f t="shared" si="1"/>
        <v>29</v>
      </c>
      <c r="M35">
        <f t="shared" si="1"/>
        <v>24</v>
      </c>
      <c r="N35">
        <f t="shared" si="1"/>
        <v>6</v>
      </c>
    </row>
    <row r="38" spans="1:16" x14ac:dyDescent="0.2">
      <c r="A38" s="2" t="s">
        <v>51</v>
      </c>
      <c r="B38" s="3" t="s">
        <v>52</v>
      </c>
    </row>
    <row r="39" spans="1:16" x14ac:dyDescent="0.2">
      <c r="B39" s="3" t="s">
        <v>7</v>
      </c>
      <c r="C39" s="5">
        <v>1</v>
      </c>
      <c r="D39" s="5">
        <v>2</v>
      </c>
      <c r="E39" s="5">
        <v>3</v>
      </c>
      <c r="F39" s="5">
        <v>4</v>
      </c>
      <c r="G39" s="5">
        <v>5</v>
      </c>
      <c r="H39" s="5">
        <v>6</v>
      </c>
      <c r="I39" s="5">
        <v>7</v>
      </c>
      <c r="J39" s="5">
        <v>8</v>
      </c>
      <c r="K39" s="5">
        <v>9</v>
      </c>
      <c r="L39" s="5">
        <v>10</v>
      </c>
      <c r="M39" s="5">
        <v>11</v>
      </c>
      <c r="N39" s="5">
        <v>12</v>
      </c>
      <c r="O39" s="3" t="s">
        <v>3</v>
      </c>
    </row>
    <row r="40" spans="1:16" x14ac:dyDescent="0.2">
      <c r="B40" s="3">
        <v>1</v>
      </c>
      <c r="D40" s="4">
        <f t="shared" ref="D40:N40" si="2">D24</f>
        <v>3</v>
      </c>
      <c r="E40">
        <f t="shared" si="2"/>
        <v>5</v>
      </c>
      <c r="F40">
        <f t="shared" si="2"/>
        <v>1</v>
      </c>
      <c r="G40">
        <f t="shared" si="2"/>
        <v>1</v>
      </c>
      <c r="H40">
        <f t="shared" si="2"/>
        <v>0</v>
      </c>
      <c r="I40">
        <f t="shared" si="2"/>
        <v>2</v>
      </c>
      <c r="J40">
        <f t="shared" si="2"/>
        <v>1</v>
      </c>
      <c r="K40">
        <f t="shared" si="2"/>
        <v>2</v>
      </c>
      <c r="L40">
        <f t="shared" si="2"/>
        <v>2</v>
      </c>
      <c r="M40">
        <f t="shared" si="2"/>
        <v>1</v>
      </c>
      <c r="N40">
        <f t="shared" si="2"/>
        <v>0</v>
      </c>
      <c r="O40">
        <f>SUM(E40:N40)</f>
        <v>15</v>
      </c>
      <c r="P40" t="s">
        <v>8</v>
      </c>
    </row>
    <row r="41" spans="1:16" x14ac:dyDescent="0.2">
      <c r="B41" s="3">
        <v>2</v>
      </c>
      <c r="E41" s="4">
        <f t="shared" ref="E41:N41" si="3">E40+E25</f>
        <v>6</v>
      </c>
      <c r="F41">
        <f t="shared" si="3"/>
        <v>5</v>
      </c>
      <c r="G41">
        <f t="shared" si="3"/>
        <v>1</v>
      </c>
      <c r="H41">
        <f t="shared" si="3"/>
        <v>1</v>
      </c>
      <c r="I41">
        <f t="shared" si="3"/>
        <v>4</v>
      </c>
      <c r="J41">
        <f t="shared" si="3"/>
        <v>2</v>
      </c>
      <c r="K41">
        <f t="shared" si="3"/>
        <v>3</v>
      </c>
      <c r="L41">
        <f t="shared" si="3"/>
        <v>2</v>
      </c>
      <c r="M41">
        <f t="shared" si="3"/>
        <v>1</v>
      </c>
      <c r="N41">
        <f t="shared" si="3"/>
        <v>0</v>
      </c>
      <c r="O41">
        <f>SUM(F41:N41)</f>
        <v>19</v>
      </c>
      <c r="P41" t="s">
        <v>9</v>
      </c>
    </row>
    <row r="42" spans="1:16" x14ac:dyDescent="0.2">
      <c r="B42" s="3">
        <v>3</v>
      </c>
      <c r="F42" s="4">
        <f t="shared" ref="F42:N42" si="4">F41+F26</f>
        <v>15</v>
      </c>
      <c r="G42">
        <f t="shared" si="4"/>
        <v>6</v>
      </c>
      <c r="H42">
        <f t="shared" si="4"/>
        <v>3</v>
      </c>
      <c r="I42">
        <f t="shared" si="4"/>
        <v>6</v>
      </c>
      <c r="J42">
        <f t="shared" si="4"/>
        <v>4</v>
      </c>
      <c r="K42">
        <f t="shared" si="4"/>
        <v>3</v>
      </c>
      <c r="L42">
        <f t="shared" si="4"/>
        <v>2</v>
      </c>
      <c r="M42">
        <f t="shared" si="4"/>
        <v>3</v>
      </c>
      <c r="N42">
        <f t="shared" si="4"/>
        <v>0</v>
      </c>
      <c r="O42">
        <f>SUM(G42:N42)</f>
        <v>27</v>
      </c>
      <c r="P42" t="s">
        <v>10</v>
      </c>
    </row>
    <row r="43" spans="1:16" x14ac:dyDescent="0.2">
      <c r="B43" s="3">
        <v>4</v>
      </c>
      <c r="G43" s="4">
        <f t="shared" ref="G43:N43" si="5">G42+G27</f>
        <v>8</v>
      </c>
      <c r="H43">
        <f t="shared" si="5"/>
        <v>4</v>
      </c>
      <c r="I43">
        <f t="shared" si="5"/>
        <v>11</v>
      </c>
      <c r="J43">
        <f t="shared" si="5"/>
        <v>7</v>
      </c>
      <c r="K43">
        <f t="shared" si="5"/>
        <v>4</v>
      </c>
      <c r="L43">
        <f t="shared" si="5"/>
        <v>4</v>
      </c>
      <c r="M43">
        <f t="shared" si="5"/>
        <v>3</v>
      </c>
      <c r="N43">
        <f t="shared" si="5"/>
        <v>0</v>
      </c>
      <c r="O43">
        <f>SUM(H43:N43)</f>
        <v>33</v>
      </c>
      <c r="P43" t="s">
        <v>11</v>
      </c>
    </row>
    <row r="44" spans="1:16" x14ac:dyDescent="0.2">
      <c r="B44" s="3">
        <v>5</v>
      </c>
      <c r="H44" s="4">
        <f t="shared" ref="H44:N44" si="6">H43+H28</f>
        <v>10</v>
      </c>
      <c r="I44">
        <f t="shared" si="6"/>
        <v>16</v>
      </c>
      <c r="J44">
        <f t="shared" si="6"/>
        <v>10</v>
      </c>
      <c r="K44">
        <f t="shared" si="6"/>
        <v>8</v>
      </c>
      <c r="L44">
        <f t="shared" si="6"/>
        <v>5</v>
      </c>
      <c r="M44">
        <f t="shared" si="6"/>
        <v>4</v>
      </c>
      <c r="N44">
        <f t="shared" si="6"/>
        <v>0</v>
      </c>
      <c r="O44">
        <f>SUM(I44:N44)</f>
        <v>43</v>
      </c>
      <c r="P44" t="s">
        <v>12</v>
      </c>
    </row>
    <row r="45" spans="1:16" x14ac:dyDescent="0.2">
      <c r="B45" s="3">
        <v>6</v>
      </c>
      <c r="I45" s="4">
        <f t="shared" ref="I45:N45" si="7">I44+I29</f>
        <v>23</v>
      </c>
      <c r="J45">
        <f t="shared" si="7"/>
        <v>13</v>
      </c>
      <c r="K45">
        <f t="shared" si="7"/>
        <v>10</v>
      </c>
      <c r="L45">
        <f t="shared" si="7"/>
        <v>6</v>
      </c>
      <c r="M45">
        <f t="shared" si="7"/>
        <v>4</v>
      </c>
      <c r="N45">
        <f t="shared" si="7"/>
        <v>0</v>
      </c>
      <c r="O45">
        <f>SUM(J45:N45)</f>
        <v>33</v>
      </c>
      <c r="P45" t="s">
        <v>13</v>
      </c>
    </row>
    <row r="46" spans="1:16" x14ac:dyDescent="0.2">
      <c r="B46" s="3">
        <v>7</v>
      </c>
      <c r="J46" s="4">
        <f>J45+J30</f>
        <v>19</v>
      </c>
      <c r="K46">
        <f>K45+K30</f>
        <v>17</v>
      </c>
      <c r="L46">
        <f>L45+L30</f>
        <v>16</v>
      </c>
      <c r="M46">
        <f>M45+M30</f>
        <v>6</v>
      </c>
      <c r="N46">
        <f>N45+N30</f>
        <v>2</v>
      </c>
      <c r="O46">
        <f>SUM(K46:N46)</f>
        <v>41</v>
      </c>
      <c r="P46" t="s">
        <v>14</v>
      </c>
    </row>
    <row r="47" spans="1:16" x14ac:dyDescent="0.2">
      <c r="B47" s="3">
        <v>8</v>
      </c>
      <c r="K47" s="4">
        <f>K46+K31</f>
        <v>27</v>
      </c>
      <c r="L47">
        <f>L46+L31</f>
        <v>21</v>
      </c>
      <c r="M47">
        <f>M46+M31</f>
        <v>10</v>
      </c>
      <c r="N47">
        <f>N46+N31</f>
        <v>3</v>
      </c>
      <c r="O47">
        <f>SUM(L47:N47)</f>
        <v>34</v>
      </c>
      <c r="P47" t="s">
        <v>15</v>
      </c>
    </row>
    <row r="48" spans="1:16" x14ac:dyDescent="0.2">
      <c r="B48" s="3">
        <v>9</v>
      </c>
      <c r="L48" s="4">
        <f>L47+L32</f>
        <v>29</v>
      </c>
      <c r="M48">
        <f>M47+M32</f>
        <v>12</v>
      </c>
      <c r="N48">
        <f>N47+N32</f>
        <v>3</v>
      </c>
      <c r="O48">
        <f>SUM(M48:N48)</f>
        <v>15</v>
      </c>
      <c r="P48" t="s">
        <v>16</v>
      </c>
    </row>
    <row r="49" spans="1:16" x14ac:dyDescent="0.2">
      <c r="B49" s="3">
        <v>10</v>
      </c>
      <c r="M49" s="4">
        <f>M48+M33</f>
        <v>24</v>
      </c>
      <c r="N49">
        <f>N48+N33</f>
        <v>4</v>
      </c>
      <c r="O49">
        <f>SUM(N49:N49)</f>
        <v>4</v>
      </c>
      <c r="P49" t="s">
        <v>17</v>
      </c>
    </row>
    <row r="50" spans="1:16" x14ac:dyDescent="0.2">
      <c r="B50" s="3">
        <v>11</v>
      </c>
      <c r="N50" s="4">
        <f>N49+N34</f>
        <v>6</v>
      </c>
    </row>
    <row r="52" spans="1:16" x14ac:dyDescent="0.2">
      <c r="A52" s="3" t="s">
        <v>56</v>
      </c>
      <c r="B52" s="3" t="s">
        <v>53</v>
      </c>
    </row>
    <row r="53" spans="1:16" x14ac:dyDescent="0.2">
      <c r="A53" t="s">
        <v>77</v>
      </c>
    </row>
    <row r="54" spans="1:16" x14ac:dyDescent="0.2">
      <c r="A54" t="s">
        <v>78</v>
      </c>
    </row>
    <row r="55" spans="1:16" x14ac:dyDescent="0.2">
      <c r="A55" t="s">
        <v>65</v>
      </c>
    </row>
    <row r="56" spans="1:16" x14ac:dyDescent="0.2">
      <c r="B56" s="6" t="s">
        <v>4</v>
      </c>
      <c r="C56" s="5">
        <f>C20</f>
        <v>1</v>
      </c>
      <c r="D56" s="5">
        <f t="shared" ref="D56:N56" si="8">D20</f>
        <v>2</v>
      </c>
      <c r="E56" s="5">
        <f t="shared" si="8"/>
        <v>3</v>
      </c>
      <c r="F56" s="5">
        <f t="shared" si="8"/>
        <v>4</v>
      </c>
      <c r="G56" s="5">
        <f t="shared" si="8"/>
        <v>5</v>
      </c>
      <c r="H56" s="5">
        <f t="shared" si="8"/>
        <v>6</v>
      </c>
      <c r="I56" s="5">
        <f t="shared" si="8"/>
        <v>7</v>
      </c>
      <c r="J56" s="5">
        <f t="shared" si="8"/>
        <v>8</v>
      </c>
      <c r="K56" s="5">
        <f t="shared" si="8"/>
        <v>9</v>
      </c>
      <c r="L56" s="5">
        <f t="shared" si="8"/>
        <v>10</v>
      </c>
      <c r="M56" s="5">
        <f t="shared" si="8"/>
        <v>11</v>
      </c>
      <c r="N56" s="5">
        <f t="shared" si="8"/>
        <v>12</v>
      </c>
    </row>
    <row r="57" spans="1:16" x14ac:dyDescent="0.2">
      <c r="B57" s="6" t="s">
        <v>5</v>
      </c>
      <c r="C57" s="1">
        <f>C21</f>
        <v>78</v>
      </c>
      <c r="D57" s="1">
        <f t="shared" ref="D57:N57" si="9">D21</f>
        <v>55</v>
      </c>
      <c r="E57" s="1">
        <f t="shared" si="9"/>
        <v>63</v>
      </c>
      <c r="F57" s="1">
        <f t="shared" si="9"/>
        <v>58</v>
      </c>
      <c r="G57" s="1">
        <f t="shared" si="9"/>
        <v>50</v>
      </c>
      <c r="H57" s="1">
        <f t="shared" si="9"/>
        <v>45</v>
      </c>
      <c r="I57" s="1">
        <f t="shared" si="9"/>
        <v>83</v>
      </c>
      <c r="J57" s="1">
        <f t="shared" si="9"/>
        <v>67</v>
      </c>
      <c r="K57" s="1">
        <f t="shared" si="9"/>
        <v>63</v>
      </c>
      <c r="L57" s="1">
        <f t="shared" si="9"/>
        <v>94</v>
      </c>
      <c r="M57" s="1">
        <f t="shared" si="9"/>
        <v>82</v>
      </c>
      <c r="N57" s="1">
        <f t="shared" si="9"/>
        <v>31</v>
      </c>
    </row>
    <row r="58" spans="1:16" x14ac:dyDescent="0.2">
      <c r="B58" s="6" t="s">
        <v>6</v>
      </c>
      <c r="C58" s="1">
        <f>C22</f>
        <v>77</v>
      </c>
      <c r="D58" s="1">
        <f t="shared" ref="D58:N58" si="10">D22</f>
        <v>53</v>
      </c>
      <c r="E58" s="1">
        <f t="shared" si="10"/>
        <v>62</v>
      </c>
      <c r="F58" s="1">
        <f t="shared" si="10"/>
        <v>58</v>
      </c>
      <c r="G58" s="1">
        <f t="shared" si="10"/>
        <v>50</v>
      </c>
      <c r="H58" s="1">
        <f t="shared" si="10"/>
        <v>45</v>
      </c>
      <c r="I58" s="1">
        <f t="shared" si="10"/>
        <v>83</v>
      </c>
      <c r="J58" s="1">
        <f t="shared" si="10"/>
        <v>67</v>
      </c>
      <c r="K58" s="1">
        <f t="shared" si="10"/>
        <v>63</v>
      </c>
      <c r="L58" s="1">
        <f t="shared" si="10"/>
        <v>94</v>
      </c>
      <c r="M58" s="1">
        <f t="shared" si="10"/>
        <v>81</v>
      </c>
      <c r="N58" s="1" t="str">
        <f t="shared" si="10"/>
        <v>—</v>
      </c>
    </row>
    <row r="59" spans="1:16" x14ac:dyDescent="0.2">
      <c r="B59" s="6" t="s">
        <v>1</v>
      </c>
      <c r="C59">
        <f>O24</f>
        <v>18</v>
      </c>
      <c r="D59">
        <f>O25</f>
        <v>10</v>
      </c>
      <c r="E59">
        <f>O26</f>
        <v>23</v>
      </c>
      <c r="F59">
        <f>O27</f>
        <v>14</v>
      </c>
      <c r="G59">
        <f>O28</f>
        <v>20</v>
      </c>
      <c r="H59">
        <f>O29</f>
        <v>13</v>
      </c>
      <c r="I59">
        <f>O30</f>
        <v>27</v>
      </c>
      <c r="J59">
        <f>O31</f>
        <v>20</v>
      </c>
      <c r="K59">
        <f>O32</f>
        <v>10</v>
      </c>
      <c r="L59">
        <f>O33</f>
        <v>13</v>
      </c>
      <c r="M59">
        <f>O34</f>
        <v>2</v>
      </c>
      <c r="N59">
        <f>N23</f>
        <v>0</v>
      </c>
    </row>
    <row r="60" spans="1:16" x14ac:dyDescent="0.2">
      <c r="B60" s="6" t="s">
        <v>21</v>
      </c>
      <c r="C60" s="6">
        <v>0</v>
      </c>
      <c r="D60" s="7">
        <f t="shared" ref="D60:M60" si="11">D62+D63*(D58+1)/(D59+1)</f>
        <v>76.63636363636364</v>
      </c>
      <c r="E60" s="7">
        <f t="shared" si="11"/>
        <v>55.875</v>
      </c>
      <c r="F60" s="7">
        <f t="shared" si="11"/>
        <v>121.2</v>
      </c>
      <c r="G60" s="7">
        <f t="shared" si="11"/>
        <v>88.142857142857139</v>
      </c>
      <c r="H60" s="7">
        <f t="shared" si="11"/>
        <v>151.28571428571428</v>
      </c>
      <c r="I60" s="7">
        <f t="shared" si="11"/>
        <v>122</v>
      </c>
      <c r="J60" s="7">
        <f t="shared" si="11"/>
        <v>151.76190476190476</v>
      </c>
      <c r="K60" s="7">
        <f t="shared" si="11"/>
        <v>224.81818181818181</v>
      </c>
      <c r="L60" s="7">
        <f t="shared" si="11"/>
        <v>130.78571428571428</v>
      </c>
      <c r="M60" s="7">
        <f t="shared" si="11"/>
        <v>133.33333333333331</v>
      </c>
      <c r="N60" s="8" t="s">
        <v>0</v>
      </c>
    </row>
    <row r="61" spans="1:16" x14ac:dyDescent="0.2">
      <c r="B61" s="6" t="s">
        <v>22</v>
      </c>
      <c r="C61" s="6">
        <v>0</v>
      </c>
      <c r="D61" s="7">
        <f t="shared" ref="D61:M61" si="12">D62+D63*D58/D59</f>
        <v>82.5</v>
      </c>
      <c r="E61" s="7">
        <f t="shared" si="12"/>
        <v>57.217391304347828</v>
      </c>
      <c r="F61" s="7">
        <f t="shared" si="12"/>
        <v>126.85714285714286</v>
      </c>
      <c r="G61" s="7">
        <f t="shared" si="12"/>
        <v>90.5</v>
      </c>
      <c r="H61" s="7">
        <f t="shared" si="12"/>
        <v>158.84615384615384</v>
      </c>
      <c r="I61" s="7">
        <f t="shared" si="12"/>
        <v>124.44444444444444</v>
      </c>
      <c r="J61" s="7">
        <f t="shared" si="12"/>
        <v>156.35</v>
      </c>
      <c r="K61" s="7">
        <f t="shared" si="12"/>
        <v>241.2</v>
      </c>
      <c r="L61" s="7">
        <f t="shared" si="12"/>
        <v>137.46153846153845</v>
      </c>
      <c r="M61" s="7">
        <f t="shared" si="12"/>
        <v>186</v>
      </c>
      <c r="N61" s="8" t="s">
        <v>0</v>
      </c>
    </row>
    <row r="62" spans="1:16" x14ac:dyDescent="0.2">
      <c r="B62" s="6" t="s">
        <v>23</v>
      </c>
      <c r="C62">
        <f>C35</f>
        <v>0</v>
      </c>
      <c r="D62">
        <f t="shared" ref="D62:N62" si="13">D35</f>
        <v>3</v>
      </c>
      <c r="E62">
        <f t="shared" si="13"/>
        <v>6</v>
      </c>
      <c r="F62">
        <f t="shared" si="13"/>
        <v>15</v>
      </c>
      <c r="G62">
        <f t="shared" si="13"/>
        <v>8</v>
      </c>
      <c r="H62">
        <f t="shared" si="13"/>
        <v>10</v>
      </c>
      <c r="I62">
        <f t="shared" si="13"/>
        <v>23</v>
      </c>
      <c r="J62">
        <f t="shared" si="13"/>
        <v>19</v>
      </c>
      <c r="K62">
        <f t="shared" si="13"/>
        <v>27</v>
      </c>
      <c r="L62">
        <f t="shared" si="13"/>
        <v>29</v>
      </c>
      <c r="M62">
        <f t="shared" si="13"/>
        <v>24</v>
      </c>
      <c r="N62">
        <f t="shared" si="13"/>
        <v>6</v>
      </c>
    </row>
    <row r="63" spans="1:16" x14ac:dyDescent="0.2">
      <c r="B63" s="6" t="s">
        <v>24</v>
      </c>
      <c r="C63">
        <v>0</v>
      </c>
      <c r="D63">
        <f>O40</f>
        <v>15</v>
      </c>
      <c r="E63">
        <f>O41</f>
        <v>19</v>
      </c>
      <c r="F63">
        <f>O42</f>
        <v>27</v>
      </c>
      <c r="G63">
        <f>O43</f>
        <v>33</v>
      </c>
      <c r="H63">
        <f>O44</f>
        <v>43</v>
      </c>
      <c r="I63">
        <f>O45</f>
        <v>33</v>
      </c>
      <c r="J63">
        <f>O46</f>
        <v>41</v>
      </c>
      <c r="K63">
        <f>O47</f>
        <v>34</v>
      </c>
      <c r="L63">
        <f>O48</f>
        <v>15</v>
      </c>
      <c r="M63">
        <f>O49</f>
        <v>4</v>
      </c>
      <c r="N63" s="8" t="s">
        <v>0</v>
      </c>
    </row>
    <row r="64" spans="1:16" x14ac:dyDescent="0.2">
      <c r="B64" s="6" t="s">
        <v>40</v>
      </c>
      <c r="C64">
        <v>0</v>
      </c>
      <c r="D64">
        <f>(D61-D62)*(D61-D62+D58)*(1/D59-1/D58)</f>
        <v>854.62500000000011</v>
      </c>
      <c r="E64">
        <f t="shared" ref="E64:L64" si="14">(E61-E62)*(E61-E62+E58)*(1/E59-1/E58)</f>
        <v>158.58995643954961</v>
      </c>
      <c r="F64">
        <f t="shared" si="14"/>
        <v>1029.5422740524782</v>
      </c>
      <c r="G64">
        <f t="shared" si="14"/>
        <v>327.9375</v>
      </c>
      <c r="H64">
        <f t="shared" si="14"/>
        <v>1578.2976786527081</v>
      </c>
      <c r="I64">
        <f t="shared" si="14"/>
        <v>467.56287151348874</v>
      </c>
      <c r="J64">
        <f t="shared" si="14"/>
        <v>984.45612500000004</v>
      </c>
      <c r="K64">
        <f t="shared" si="14"/>
        <v>4995.1440000000002</v>
      </c>
      <c r="L64">
        <f t="shared" si="14"/>
        <v>1455.5666818388711</v>
      </c>
      <c r="M64">
        <f>(M61-M62)*(M61-M62+M58)*(1/M59-1/M58)</f>
        <v>19197</v>
      </c>
      <c r="N64" s="8"/>
    </row>
    <row r="65" spans="2:14" x14ac:dyDescent="0.2">
      <c r="B65" s="6" t="s">
        <v>36</v>
      </c>
      <c r="C65" s="8" t="s">
        <v>0</v>
      </c>
      <c r="D65" s="8">
        <f t="shared" ref="D65:M65" si="15">(D57+1)*D60/(D62+1)</f>
        <v>1072.909090909091</v>
      </c>
      <c r="E65" s="8">
        <f t="shared" si="15"/>
        <v>510.85714285714283</v>
      </c>
      <c r="F65" s="8">
        <f t="shared" si="15"/>
        <v>446.92500000000001</v>
      </c>
      <c r="G65" s="8">
        <f t="shared" si="15"/>
        <v>499.47619047619042</v>
      </c>
      <c r="H65" s="8">
        <f t="shared" si="15"/>
        <v>632.64935064935059</v>
      </c>
      <c r="I65" s="8">
        <f t="shared" si="15"/>
        <v>427</v>
      </c>
      <c r="J65" s="8">
        <f t="shared" si="15"/>
        <v>515.9904761904761</v>
      </c>
      <c r="K65" s="8">
        <f t="shared" si="15"/>
        <v>513.87012987012986</v>
      </c>
      <c r="L65" s="8">
        <f t="shared" si="15"/>
        <v>414.15476190476187</v>
      </c>
      <c r="M65" s="8">
        <f t="shared" si="15"/>
        <v>442.66666666666657</v>
      </c>
      <c r="N65" s="8" t="s">
        <v>0</v>
      </c>
    </row>
    <row r="66" spans="2:14" x14ac:dyDescent="0.2">
      <c r="B66" s="6" t="s">
        <v>37</v>
      </c>
      <c r="C66" s="7" t="s">
        <v>0</v>
      </c>
      <c r="D66" s="7">
        <f t="shared" ref="D66:M66" si="16">D57*D61/D62</f>
        <v>1512.5</v>
      </c>
      <c r="E66" s="7">
        <f t="shared" si="16"/>
        <v>600.78260869565213</v>
      </c>
      <c r="F66" s="7">
        <f t="shared" si="16"/>
        <v>490.51428571428573</v>
      </c>
      <c r="G66" s="7">
        <f t="shared" si="16"/>
        <v>565.625</v>
      </c>
      <c r="H66" s="7">
        <f t="shared" si="16"/>
        <v>714.80769230769226</v>
      </c>
      <c r="I66" s="7">
        <f t="shared" si="16"/>
        <v>449.08212560386471</v>
      </c>
      <c r="J66" s="7">
        <f t="shared" si="16"/>
        <v>551.33947368421047</v>
      </c>
      <c r="K66" s="7">
        <f t="shared" si="16"/>
        <v>562.79999999999995</v>
      </c>
      <c r="L66" s="7">
        <f t="shared" si="16"/>
        <v>445.56498673740055</v>
      </c>
      <c r="M66" s="7">
        <f t="shared" si="16"/>
        <v>635.5</v>
      </c>
      <c r="N66" s="8" t="s">
        <v>0</v>
      </c>
    </row>
    <row r="67" spans="2:14" x14ac:dyDescent="0.2">
      <c r="B67" s="6" t="s">
        <v>18</v>
      </c>
      <c r="C67" s="7" t="s">
        <v>0</v>
      </c>
      <c r="D67" s="7">
        <f t="shared" ref="D67:M67" si="17">D65*(D65-D57)*((D60-D62+D58)/D60*(1/D59-1/D58)+(D65-D60)/D65/D62)</f>
        <v>484454.18949009839</v>
      </c>
      <c r="E67" s="7">
        <f t="shared" si="17"/>
        <v>46489.681274508395</v>
      </c>
      <c r="F67" s="7">
        <f t="shared" si="17"/>
        <v>21206.006302647784</v>
      </c>
      <c r="G67" s="7">
        <f t="shared" si="17"/>
        <v>33054.907120181393</v>
      </c>
      <c r="H67" s="7">
        <f t="shared" si="17"/>
        <v>53328.614339340296</v>
      </c>
      <c r="I67" s="7">
        <f t="shared" si="17"/>
        <v>10037.494596744466</v>
      </c>
      <c r="J67" s="7">
        <f t="shared" si="17"/>
        <v>19303.123073212522</v>
      </c>
      <c r="K67" s="7">
        <f t="shared" si="17"/>
        <v>27439.244154773281</v>
      </c>
      <c r="L67" s="7">
        <f t="shared" si="17"/>
        <v>16285.350812940493</v>
      </c>
      <c r="M67" s="7">
        <f t="shared" si="17"/>
        <v>115788.75319615907</v>
      </c>
      <c r="N67" s="8" t="s">
        <v>0</v>
      </c>
    </row>
    <row r="68" spans="2:14" x14ac:dyDescent="0.2">
      <c r="B68" s="6" t="s">
        <v>38</v>
      </c>
      <c r="C68" s="7" t="s">
        <v>0</v>
      </c>
      <c r="D68" s="7">
        <f>D66*(D66-D57)*(((D61-D62+D58)/D61)*(1/D59-1/D58)+(D66-D61)/(D66*D62))</f>
        <v>981990.625</v>
      </c>
      <c r="E68" s="7">
        <f t="shared" ref="E68:M68" si="18">E66*(E66-E57)*((E61-E62+E58)/E61*(1/E59-1/E58)+(E66-E61)/E66/E62)</f>
        <v>66204.529464946143</v>
      </c>
      <c r="F68" s="7">
        <f t="shared" si="18"/>
        <v>25878.594892128276</v>
      </c>
      <c r="G68" s="7">
        <f t="shared" si="18"/>
        <v>43433.349609375</v>
      </c>
      <c r="H68" s="7">
        <f t="shared" si="18"/>
        <v>69199.259501593071</v>
      </c>
      <c r="I68" s="7">
        <f t="shared" si="18"/>
        <v>11256.056382543062</v>
      </c>
      <c r="J68" s="7">
        <f t="shared" si="18"/>
        <v>22310.510878754187</v>
      </c>
      <c r="K68" s="7">
        <f t="shared" si="18"/>
        <v>33148.957333333332</v>
      </c>
      <c r="L68" s="7">
        <f t="shared" si="18"/>
        <v>19028.086037130724</v>
      </c>
      <c r="M68" s="7">
        <f t="shared" si="18"/>
        <v>234464.90624999997</v>
      </c>
      <c r="N68" s="8" t="s">
        <v>0</v>
      </c>
    </row>
    <row r="69" spans="2:14" x14ac:dyDescent="0.2">
      <c r="B69" s="6" t="s">
        <v>57</v>
      </c>
      <c r="C69" s="7" t="s">
        <v>0</v>
      </c>
      <c r="D69" s="7">
        <f t="shared" ref="D69:M70" si="19">SQRT(D67)</f>
        <v>696.02743443782333</v>
      </c>
      <c r="E69" s="7">
        <f t="shared" si="19"/>
        <v>215.61465922916372</v>
      </c>
      <c r="F69" s="7">
        <f t="shared" si="19"/>
        <v>145.6228220528904</v>
      </c>
      <c r="G69" s="7">
        <f t="shared" si="19"/>
        <v>181.81008530931774</v>
      </c>
      <c r="H69" s="7">
        <f t="shared" si="19"/>
        <v>230.9298905281434</v>
      </c>
      <c r="I69" s="7">
        <f t="shared" si="19"/>
        <v>100.18729758180159</v>
      </c>
      <c r="J69" s="7">
        <f t="shared" si="19"/>
        <v>138.93567962626634</v>
      </c>
      <c r="K69" s="7">
        <f t="shared" si="19"/>
        <v>165.64795246175933</v>
      </c>
      <c r="L69" s="7">
        <f t="shared" si="19"/>
        <v>127.61406980791926</v>
      </c>
      <c r="M69" s="7">
        <f t="shared" si="19"/>
        <v>340.27746501371359</v>
      </c>
      <c r="N69" s="8" t="s">
        <v>0</v>
      </c>
    </row>
    <row r="70" spans="2:14" x14ac:dyDescent="0.2">
      <c r="B70" s="6" t="s">
        <v>58</v>
      </c>
      <c r="C70" s="7" t="s">
        <v>0</v>
      </c>
      <c r="D70" s="7">
        <f t="shared" si="19"/>
        <v>990.95440106999877</v>
      </c>
      <c r="E70" s="7">
        <f t="shared" si="19"/>
        <v>257.30240858753371</v>
      </c>
      <c r="F70" s="7">
        <f t="shared" si="19"/>
        <v>160.86825321401446</v>
      </c>
      <c r="G70" s="7">
        <f t="shared" si="19"/>
        <v>208.40669281329474</v>
      </c>
      <c r="H70" s="7">
        <f t="shared" si="19"/>
        <v>263.057521279269</v>
      </c>
      <c r="I70" s="7">
        <f t="shared" si="19"/>
        <v>106.09456339767397</v>
      </c>
      <c r="J70" s="7">
        <f t="shared" si="19"/>
        <v>149.36703410978672</v>
      </c>
      <c r="K70" s="7">
        <f t="shared" si="19"/>
        <v>182.06855119249269</v>
      </c>
      <c r="L70" s="7">
        <f t="shared" si="19"/>
        <v>137.94232866357854</v>
      </c>
      <c r="M70" s="7">
        <f t="shared" si="19"/>
        <v>484.21576414858691</v>
      </c>
      <c r="N70" s="8" t="s">
        <v>0</v>
      </c>
    </row>
    <row r="71" spans="2:14" x14ac:dyDescent="0.2">
      <c r="B71" s="6" t="s">
        <v>26</v>
      </c>
      <c r="C71" s="7" t="s">
        <v>0</v>
      </c>
      <c r="D71" s="7">
        <f t="shared" ref="D71:M71" si="20">D65-1.64*D69</f>
        <v>-68.575901568939116</v>
      </c>
      <c r="E71" s="7">
        <f t="shared" si="20"/>
        <v>157.24910172131433</v>
      </c>
      <c r="F71" s="7">
        <f t="shared" si="20"/>
        <v>208.10357183325976</v>
      </c>
      <c r="G71" s="7">
        <f t="shared" si="20"/>
        <v>201.30765056890937</v>
      </c>
      <c r="H71" s="7">
        <f t="shared" si="20"/>
        <v>253.92433018319542</v>
      </c>
      <c r="I71" s="7">
        <f t="shared" si="20"/>
        <v>262.69283196584541</v>
      </c>
      <c r="J71" s="7">
        <f t="shared" si="20"/>
        <v>288.13596160339932</v>
      </c>
      <c r="K71" s="7">
        <f t="shared" si="20"/>
        <v>242.20748783284455</v>
      </c>
      <c r="L71" s="7">
        <f t="shared" si="20"/>
        <v>204.86768741977428</v>
      </c>
      <c r="M71" s="7">
        <f t="shared" si="20"/>
        <v>-115.38837595582373</v>
      </c>
      <c r="N71" s="8" t="s">
        <v>0</v>
      </c>
    </row>
    <row r="72" spans="2:14" x14ac:dyDescent="0.2">
      <c r="B72" s="6" t="s">
        <v>25</v>
      </c>
      <c r="C72" s="7" t="s">
        <v>0</v>
      </c>
      <c r="D72" s="7">
        <f t="shared" ref="D72:M72" si="21">D65+1.64*D69</f>
        <v>2214.3940833871211</v>
      </c>
      <c r="E72" s="7">
        <f t="shared" si="21"/>
        <v>864.46518399297133</v>
      </c>
      <c r="F72" s="7">
        <f t="shared" si="21"/>
        <v>685.74642816674032</v>
      </c>
      <c r="G72" s="7">
        <f t="shared" si="21"/>
        <v>797.64473038347148</v>
      </c>
      <c r="H72" s="7">
        <f t="shared" si="21"/>
        <v>1011.3743711155057</v>
      </c>
      <c r="I72" s="7">
        <f t="shared" si="21"/>
        <v>591.30716803415453</v>
      </c>
      <c r="J72" s="7">
        <f t="shared" si="21"/>
        <v>743.84499077755288</v>
      </c>
      <c r="K72" s="7">
        <f t="shared" si="21"/>
        <v>785.53277190741517</v>
      </c>
      <c r="L72" s="7">
        <f t="shared" si="21"/>
        <v>623.44183638974948</v>
      </c>
      <c r="M72" s="7">
        <f t="shared" si="21"/>
        <v>1000.7217092891569</v>
      </c>
      <c r="N72" s="8" t="s">
        <v>0</v>
      </c>
    </row>
    <row r="73" spans="2:14" x14ac:dyDescent="0.2">
      <c r="B73" s="6" t="s">
        <v>27</v>
      </c>
      <c r="C73" s="7" t="s">
        <v>0</v>
      </c>
      <c r="D73" s="7">
        <f>D66-1.64*D70</f>
        <v>-112.66521775479782</v>
      </c>
      <c r="E73" s="7">
        <f t="shared" ref="E73:M73" si="22">E66-1.64*E70</f>
        <v>178.8066586120969</v>
      </c>
      <c r="F73" s="7">
        <f t="shared" si="22"/>
        <v>226.69035044330201</v>
      </c>
      <c r="G73" s="7">
        <f t="shared" si="22"/>
        <v>223.83802378619663</v>
      </c>
      <c r="H73" s="7">
        <f t="shared" si="22"/>
        <v>283.39335740969113</v>
      </c>
      <c r="I73" s="7">
        <f t="shared" si="22"/>
        <v>275.08704163167943</v>
      </c>
      <c r="J73" s="7">
        <f t="shared" si="22"/>
        <v>306.37753774416024</v>
      </c>
      <c r="K73" s="7">
        <f t="shared" si="22"/>
        <v>264.20757604431196</v>
      </c>
      <c r="L73" s="7">
        <f t="shared" si="22"/>
        <v>219.33956772913177</v>
      </c>
      <c r="M73" s="7">
        <f t="shared" si="22"/>
        <v>-158.61385320368254</v>
      </c>
      <c r="N73" s="8" t="s">
        <v>0</v>
      </c>
    </row>
    <row r="74" spans="2:14" x14ac:dyDescent="0.2">
      <c r="B74" s="6" t="s">
        <v>28</v>
      </c>
      <c r="C74" s="7" t="s">
        <v>0</v>
      </c>
      <c r="D74" s="7">
        <f>D66+1.64*D70</f>
        <v>3137.6652177547976</v>
      </c>
      <c r="E74" s="7">
        <f t="shared" ref="E74:M74" si="23">E66+1.64*E70</f>
        <v>1022.7585587792073</v>
      </c>
      <c r="F74" s="7">
        <f t="shared" si="23"/>
        <v>754.33822098526946</v>
      </c>
      <c r="G74" s="7">
        <f t="shared" si="23"/>
        <v>907.41197621380343</v>
      </c>
      <c r="H74" s="7">
        <f t="shared" si="23"/>
        <v>1146.2220272056934</v>
      </c>
      <c r="I74" s="7">
        <f t="shared" si="23"/>
        <v>623.07720957605</v>
      </c>
      <c r="J74" s="7">
        <f t="shared" si="23"/>
        <v>796.30140962426071</v>
      </c>
      <c r="K74" s="7">
        <f t="shared" si="23"/>
        <v>861.39242395568795</v>
      </c>
      <c r="L74" s="7">
        <f t="shared" si="23"/>
        <v>671.79040574566932</v>
      </c>
      <c r="M74" s="7">
        <f t="shared" si="23"/>
        <v>1429.6138532036825</v>
      </c>
      <c r="N74" s="8" t="s">
        <v>0</v>
      </c>
    </row>
    <row r="75" spans="2:14" x14ac:dyDescent="0.2">
      <c r="B75" s="11" t="s">
        <v>30</v>
      </c>
      <c r="C75" s="7" t="s">
        <v>0</v>
      </c>
      <c r="D75" s="9">
        <f>D62/D60</f>
        <v>3.9145907473309607E-2</v>
      </c>
      <c r="E75" s="9">
        <f t="shared" ref="E75:M75" si="24">E62/E60</f>
        <v>0.10738255033557047</v>
      </c>
      <c r="F75" s="9">
        <f t="shared" si="24"/>
        <v>0.12376237623762376</v>
      </c>
      <c r="G75" s="9">
        <f t="shared" si="24"/>
        <v>9.0761750405186387E-2</v>
      </c>
      <c r="H75" s="9">
        <f t="shared" si="24"/>
        <v>6.6100094428706332E-2</v>
      </c>
      <c r="I75" s="9">
        <f t="shared" si="24"/>
        <v>0.18852459016393441</v>
      </c>
      <c r="J75" s="9">
        <f t="shared" si="24"/>
        <v>0.125196109193599</v>
      </c>
      <c r="K75" s="9">
        <f t="shared" si="24"/>
        <v>0.12009704811969268</v>
      </c>
      <c r="L75" s="9">
        <f t="shared" si="24"/>
        <v>0.22173675587110869</v>
      </c>
      <c r="M75" s="9">
        <f t="shared" si="24"/>
        <v>0.18000000000000002</v>
      </c>
      <c r="N75" s="8" t="s">
        <v>0</v>
      </c>
    </row>
    <row r="76" spans="2:14" x14ac:dyDescent="0.2">
      <c r="B76" s="11" t="s">
        <v>31</v>
      </c>
      <c r="C76" s="7" t="s">
        <v>0</v>
      </c>
      <c r="D76" s="9">
        <f>D62/D61</f>
        <v>3.6363636363636362E-2</v>
      </c>
      <c r="E76" s="9">
        <f t="shared" ref="E76:M76" si="25">E62/E61</f>
        <v>0.10486322188449848</v>
      </c>
      <c r="F76" s="9">
        <f t="shared" si="25"/>
        <v>0.11824324324324324</v>
      </c>
      <c r="G76" s="9">
        <f t="shared" si="25"/>
        <v>8.8397790055248615E-2</v>
      </c>
      <c r="H76" s="9">
        <f t="shared" si="25"/>
        <v>6.2953995157384993E-2</v>
      </c>
      <c r="I76" s="9">
        <f t="shared" si="25"/>
        <v>0.18482142857142858</v>
      </c>
      <c r="J76" s="9">
        <f t="shared" si="25"/>
        <v>0.12152222577550369</v>
      </c>
      <c r="K76" s="9">
        <f t="shared" si="25"/>
        <v>0.11194029850746269</v>
      </c>
      <c r="L76" s="9">
        <f t="shared" si="25"/>
        <v>0.2109681029658646</v>
      </c>
      <c r="M76" s="9">
        <f t="shared" si="25"/>
        <v>0.12903225806451613</v>
      </c>
      <c r="N76" s="8" t="s">
        <v>0</v>
      </c>
    </row>
    <row r="77" spans="2:14" x14ac:dyDescent="0.2">
      <c r="B77" s="11" t="s">
        <v>32</v>
      </c>
      <c r="C77" s="7"/>
      <c r="D77" s="9">
        <f>D75^2*(1-D75)^2*(1/D59-1/D58+1/D62+1/D63)</f>
        <v>6.806940114871807E-4</v>
      </c>
      <c r="E77" s="9">
        <f t="shared" ref="E77:M77" si="26">E75^2*(1-E75)^2*(1/E59-1/E58+1/E62+1/E63)</f>
        <v>2.2660779559208022E-3</v>
      </c>
      <c r="F77" s="9">
        <f t="shared" si="26"/>
        <v>1.8568557253128906E-3</v>
      </c>
      <c r="G77" s="9">
        <f t="shared" si="26"/>
        <v>1.2619543409465377E-3</v>
      </c>
      <c r="H77" s="9">
        <f t="shared" si="26"/>
        <v>6.7813957531613069E-4</v>
      </c>
      <c r="I77" s="9">
        <f t="shared" si="26"/>
        <v>2.3115984140208989E-3</v>
      </c>
      <c r="J77" s="9">
        <f t="shared" si="26"/>
        <v>1.3446056576899813E-3</v>
      </c>
      <c r="K77" s="9">
        <f t="shared" si="26"/>
        <v>1.6814708923358151E-3</v>
      </c>
      <c r="L77" s="9">
        <f t="shared" si="26"/>
        <v>4.9862333751058479E-3</v>
      </c>
      <c r="M77" s="9">
        <f t="shared" si="26"/>
        <v>1.6978100000000003E-2</v>
      </c>
      <c r="N77" s="8" t="s">
        <v>0</v>
      </c>
    </row>
    <row r="78" spans="2:14" x14ac:dyDescent="0.2">
      <c r="B78" s="6" t="s">
        <v>60</v>
      </c>
      <c r="C78" s="7" t="s">
        <v>0</v>
      </c>
      <c r="D78" s="9">
        <f>SQRT(D77)</f>
        <v>2.6090113290041128E-2</v>
      </c>
      <c r="E78" s="9">
        <f t="shared" ref="E78:M78" si="27">SQRT(E77)</f>
        <v>4.760333975595412E-2</v>
      </c>
      <c r="F78" s="9">
        <f t="shared" si="27"/>
        <v>4.309124882517204E-2</v>
      </c>
      <c r="G78" s="9">
        <f t="shared" si="27"/>
        <v>3.552399669162435E-2</v>
      </c>
      <c r="H78" s="9">
        <f t="shared" si="27"/>
        <v>2.6041113173521032E-2</v>
      </c>
      <c r="I78" s="9">
        <f t="shared" si="27"/>
        <v>4.8079084995670401E-2</v>
      </c>
      <c r="J78" s="9">
        <f t="shared" si="27"/>
        <v>3.6668864963207974E-2</v>
      </c>
      <c r="K78" s="9">
        <f t="shared" si="27"/>
        <v>4.1005742187354872E-2</v>
      </c>
      <c r="L78" s="9">
        <f t="shared" si="27"/>
        <v>7.061326628266E-2</v>
      </c>
      <c r="M78" s="9">
        <f t="shared" si="27"/>
        <v>0.13030003837297979</v>
      </c>
      <c r="N78" s="8" t="s">
        <v>0</v>
      </c>
    </row>
    <row r="79" spans="2:14" x14ac:dyDescent="0.2">
      <c r="B79" s="11" t="s">
        <v>33</v>
      </c>
      <c r="C79" s="7" t="s">
        <v>0</v>
      </c>
      <c r="D79" s="9">
        <f>D76^2*(1-D76)^2*(1/D59-1/D58+1/D62+1/D63)</f>
        <v>5.9077931835257145E-4</v>
      </c>
      <c r="E79" s="9">
        <f t="shared" ref="E79:M79" si="28">E76^2*(1-E76)^2*(1/E59-1/E58+1/E62+1/E63)</f>
        <v>2.17321087213473E-3</v>
      </c>
      <c r="F79" s="9">
        <f t="shared" si="28"/>
        <v>1.7163559026795857E-3</v>
      </c>
      <c r="G79" s="9">
        <f t="shared" si="28"/>
        <v>1.2033059821128034E-3</v>
      </c>
      <c r="H79" s="9">
        <f t="shared" si="28"/>
        <v>6.1927377160724201E-4</v>
      </c>
      <c r="I79" s="9">
        <f t="shared" si="28"/>
        <v>2.2420010135750729E-3</v>
      </c>
      <c r="J79" s="9">
        <f t="shared" si="28"/>
        <v>1.2775115787879018E-3</v>
      </c>
      <c r="K79" s="9">
        <f t="shared" si="28"/>
        <v>1.4880323944922635E-3</v>
      </c>
      <c r="L79" s="9">
        <f t="shared" si="28"/>
        <v>4.6394542703668291E-3</v>
      </c>
      <c r="M79" s="9">
        <f t="shared" si="28"/>
        <v>9.8427648098960378E-3</v>
      </c>
      <c r="N79" s="8" t="s">
        <v>0</v>
      </c>
    </row>
    <row r="80" spans="2:14" x14ac:dyDescent="0.2">
      <c r="B80" s="6" t="s">
        <v>75</v>
      </c>
      <c r="C80" s="7" t="s">
        <v>0</v>
      </c>
      <c r="D80" s="9">
        <f>SQRT(D79)</f>
        <v>2.4305952323506509E-2</v>
      </c>
      <c r="E80" s="9">
        <f t="shared" ref="E80:M80" si="29">SQRT(E79)</f>
        <v>4.6617709855104744E-2</v>
      </c>
      <c r="F80" s="9">
        <f t="shared" si="29"/>
        <v>4.1428925917522723E-2</v>
      </c>
      <c r="G80" s="9">
        <f t="shared" si="29"/>
        <v>3.4688701072724003E-2</v>
      </c>
      <c r="H80" s="9">
        <f t="shared" si="29"/>
        <v>2.4885211906014424E-2</v>
      </c>
      <c r="I80" s="9">
        <f t="shared" si="29"/>
        <v>4.7349773110069632E-2</v>
      </c>
      <c r="J80" s="9">
        <f t="shared" si="29"/>
        <v>3.574229397769401E-2</v>
      </c>
      <c r="K80" s="9">
        <f t="shared" si="29"/>
        <v>3.857502293573218E-2</v>
      </c>
      <c r="L80" s="9">
        <f t="shared" si="29"/>
        <v>6.8113539552476857E-2</v>
      </c>
      <c r="M80" s="9">
        <f t="shared" si="29"/>
        <v>9.9210709149244763E-2</v>
      </c>
      <c r="N80" s="8" t="s">
        <v>0</v>
      </c>
    </row>
    <row r="81" spans="2:14" x14ac:dyDescent="0.2">
      <c r="B81" s="10" t="s">
        <v>34</v>
      </c>
      <c r="C81" s="9">
        <f>D61/(C61-C62+C58)</f>
        <v>1.0714285714285714</v>
      </c>
      <c r="D81" s="9">
        <f t="shared" ref="D81:L81" si="30">E61/(D61-D62+D58)</f>
        <v>0.43182936833470059</v>
      </c>
      <c r="E81" s="9">
        <f t="shared" si="30"/>
        <v>1.1204739960500329</v>
      </c>
      <c r="F81" s="9">
        <f t="shared" si="30"/>
        <v>0.53280067283431454</v>
      </c>
      <c r="G81" s="9">
        <f t="shared" si="30"/>
        <v>1.1988388969521044</v>
      </c>
      <c r="H81" s="9">
        <f t="shared" si="30"/>
        <v>0.64197530864197527</v>
      </c>
      <c r="I81" s="9">
        <f t="shared" si="30"/>
        <v>0.84768072289156615</v>
      </c>
      <c r="J81" s="9">
        <f t="shared" si="30"/>
        <v>1.180327868852459</v>
      </c>
      <c r="K81" s="9">
        <f t="shared" si="30"/>
        <v>0.4958929958929959</v>
      </c>
      <c r="L81" s="9">
        <f t="shared" si="30"/>
        <v>0.91869300911854113</v>
      </c>
      <c r="M81" s="8" t="s">
        <v>0</v>
      </c>
      <c r="N81" s="8" t="s">
        <v>0</v>
      </c>
    </row>
    <row r="82" spans="2:14" x14ac:dyDescent="0.2">
      <c r="B82" s="10" t="s">
        <v>29</v>
      </c>
      <c r="C82" s="9">
        <f t="shared" ref="C82:L82" si="31">D60/(C60-C62+C58)</f>
        <v>0.99527744982290445</v>
      </c>
      <c r="D82" s="9">
        <f t="shared" si="31"/>
        <v>0.44122397702799709</v>
      </c>
      <c r="E82" s="9">
        <f t="shared" si="31"/>
        <v>1.0833519553072626</v>
      </c>
      <c r="F82" s="9">
        <f t="shared" si="31"/>
        <v>0.53680180963981206</v>
      </c>
      <c r="G82" s="9">
        <f t="shared" si="31"/>
        <v>1.1624588364434687</v>
      </c>
      <c r="H82" s="9">
        <f t="shared" si="31"/>
        <v>0.65490797546012269</v>
      </c>
      <c r="I82" s="9">
        <f t="shared" si="31"/>
        <v>0.83385661957090529</v>
      </c>
      <c r="J82" s="9">
        <f t="shared" si="31"/>
        <v>1.1254307075522809</v>
      </c>
      <c r="K82" s="9">
        <f t="shared" si="31"/>
        <v>0.50144400736941686</v>
      </c>
      <c r="L82" s="9">
        <f t="shared" si="31"/>
        <v>0.68101666058616073</v>
      </c>
      <c r="M82" s="8" t="s">
        <v>0</v>
      </c>
      <c r="N82" s="8" t="s">
        <v>0</v>
      </c>
    </row>
    <row r="83" spans="2:14" x14ac:dyDescent="0.2">
      <c r="B83" s="6" t="s">
        <v>67</v>
      </c>
      <c r="C83" s="9">
        <f t="shared" ref="C83:L83" si="32">C81^2*((D61-D62)*(D61-D62+D58)/D61^2*(1/D59-1/D58)+(C61-C62)/(C61-C62+C58)*(1/C59-1/C58))+C81*(1-C81)/(C61-C62+C58)</f>
        <v>0.14314929041274127</v>
      </c>
      <c r="D83" s="9">
        <f t="shared" si="32"/>
        <v>1.9962507081102126E-2</v>
      </c>
      <c r="E83" s="9">
        <f t="shared" si="32"/>
        <v>9.4659551160145267E-2</v>
      </c>
      <c r="F83" s="9">
        <f t="shared" si="32"/>
        <v>2.2961826131954854E-2</v>
      </c>
      <c r="G83" s="9">
        <f t="shared" si="32"/>
        <v>0.11494649942871185</v>
      </c>
      <c r="H83" s="9">
        <f t="shared" si="32"/>
        <v>3.0939276420148237E-2</v>
      </c>
      <c r="I83" s="9">
        <f t="shared" si="32"/>
        <v>3.951364481988047E-2</v>
      </c>
      <c r="J83" s="9">
        <f t="shared" si="32"/>
        <v>0.15142075266453145</v>
      </c>
      <c r="K83" s="9">
        <f t="shared" si="32"/>
        <v>3.5830594972019188E-2</v>
      </c>
      <c r="L83" s="9">
        <f t="shared" si="32"/>
        <v>0.49866505025274444</v>
      </c>
      <c r="M83" s="8" t="s">
        <v>0</v>
      </c>
      <c r="N83" s="8" t="s">
        <v>0</v>
      </c>
    </row>
    <row r="84" spans="2:14" x14ac:dyDescent="0.2">
      <c r="B84" s="6" t="s">
        <v>68</v>
      </c>
      <c r="C84" s="9">
        <f>SQRT(C83)</f>
        <v>0.37835075051166644</v>
      </c>
      <c r="D84" s="9">
        <f t="shared" ref="D84:L84" si="33">SQRT(D83)</f>
        <v>0.14128873656842617</v>
      </c>
      <c r="E84" s="9">
        <f t="shared" si="33"/>
        <v>0.30766792351518424</v>
      </c>
      <c r="F84" s="9">
        <f t="shared" si="33"/>
        <v>0.1515316011000836</v>
      </c>
      <c r="G84" s="9">
        <f t="shared" si="33"/>
        <v>0.33903760769081631</v>
      </c>
      <c r="H84" s="9">
        <f t="shared" si="33"/>
        <v>0.17589564070820016</v>
      </c>
      <c r="I84" s="9">
        <f t="shared" si="33"/>
        <v>0.19878039344935525</v>
      </c>
      <c r="J84" s="9">
        <f t="shared" si="33"/>
        <v>0.38912819566889706</v>
      </c>
      <c r="K84" s="9">
        <f t="shared" si="33"/>
        <v>0.18928971174371625</v>
      </c>
      <c r="L84" s="9">
        <f t="shared" si="33"/>
        <v>0.70616219826095505</v>
      </c>
      <c r="M84" s="8" t="s">
        <v>0</v>
      </c>
      <c r="N84" s="8" t="s">
        <v>0</v>
      </c>
    </row>
    <row r="85" spans="2:14" x14ac:dyDescent="0.2">
      <c r="B85" s="6" t="s">
        <v>35</v>
      </c>
      <c r="C85" s="9">
        <f>C81^2*((D61-D62)*(D61-D62+D58)/D61^2*(1/D59-1/D58)+(C61-C62)/(C61-C62+C58)*(1/C59-1/C58))</f>
        <v>0.1441431944678698</v>
      </c>
      <c r="D85" s="9">
        <f t="shared" ref="D85:L85" si="34">D83^2*((E63-E65)*(E63-E65+E60)/E63^2*(1/E61-1/E60)+(D63-D65)/(D63-D65+D60)*(1/D61-1/D60))+D83*(1-D83)/(D63-D65+D60)</f>
        <v>-1.1973074208538124E-4</v>
      </c>
      <c r="E85" s="9">
        <f t="shared" si="34"/>
        <v>-7.6812521095802637E-4</v>
      </c>
      <c r="F85" s="9">
        <f t="shared" si="34"/>
        <v>-1.0062253371764386E-4</v>
      </c>
      <c r="G85" s="9">
        <f t="shared" si="34"/>
        <v>-8.548198063246732E-4</v>
      </c>
      <c r="H85" s="9">
        <f t="shared" si="34"/>
        <v>-8.3967541921542015E-5</v>
      </c>
      <c r="I85" s="9">
        <f t="shared" si="34"/>
        <v>-1.674682771129048E-4</v>
      </c>
      <c r="J85" s="9">
        <f t="shared" si="34"/>
        <v>-1.1374058574121488E-3</v>
      </c>
      <c r="K85" s="9">
        <f t="shared" si="34"/>
        <v>-3.6314659127264517E-4</v>
      </c>
      <c r="L85" s="9">
        <f t="shared" si="34"/>
        <v>-4.4217672636333694</v>
      </c>
      <c r="M85" s="8"/>
      <c r="N85" s="8"/>
    </row>
    <row r="86" spans="2:14" x14ac:dyDescent="0.2">
      <c r="B86" s="6" t="s">
        <v>74</v>
      </c>
      <c r="C86" s="9">
        <f>SQRT(C85)</f>
        <v>0.37966194761638911</v>
      </c>
      <c r="D86" s="9">
        <f t="shared" ref="D86:L86" si="35">D82*SQRT((E60-E62)*(E60-E62+E58)/E60^2*(1/E59-1/E58)+(D60-D62)/(D60-D62+D58)*(1/D59-1/D58))</f>
        <v>0.13674811305214521</v>
      </c>
      <c r="E86" s="9">
        <f t="shared" si="35"/>
        <v>0.29967742800360947</v>
      </c>
      <c r="F86" s="9">
        <f t="shared" si="35"/>
        <v>0.14732394099157367</v>
      </c>
      <c r="G86" s="9">
        <f t="shared" si="35"/>
        <v>0.3316124204063598</v>
      </c>
      <c r="H86" s="9">
        <f t="shared" si="35"/>
        <v>0.17540975287112537</v>
      </c>
      <c r="I86" s="9">
        <f t="shared" si="35"/>
        <v>0.19373659605127913</v>
      </c>
      <c r="J86" s="9">
        <f t="shared" si="35"/>
        <v>0.37188214895738536</v>
      </c>
      <c r="K86" s="9">
        <f t="shared" si="35"/>
        <v>0.1883133345994229</v>
      </c>
      <c r="L86" s="9">
        <f t="shared" si="35"/>
        <v>0.52983101098790775</v>
      </c>
      <c r="M86" s="8" t="s">
        <v>0</v>
      </c>
      <c r="N86" s="8" t="s">
        <v>0</v>
      </c>
    </row>
    <row r="87" spans="2:14" x14ac:dyDescent="0.2">
      <c r="B87" s="6" t="s">
        <v>19</v>
      </c>
      <c r="C87" s="8" t="s">
        <v>0</v>
      </c>
      <c r="D87" s="9">
        <f t="shared" ref="D87:L87" si="36">E66-D81*(D66-D57+D58)</f>
        <v>-51.495652173913072</v>
      </c>
      <c r="E87" s="9">
        <f t="shared" si="36"/>
        <v>-181.52653061224487</v>
      </c>
      <c r="F87" s="9">
        <f t="shared" si="36"/>
        <v>304.27865853658534</v>
      </c>
      <c r="G87" s="9">
        <f t="shared" si="36"/>
        <v>36.714441219158175</v>
      </c>
      <c r="H87" s="9">
        <f t="shared" si="36"/>
        <v>-9.8067632850241466</v>
      </c>
      <c r="I87" s="9">
        <f t="shared" si="36"/>
        <v>170.66121281464535</v>
      </c>
      <c r="J87" s="9">
        <f t="shared" si="36"/>
        <v>-87.961345987920595</v>
      </c>
      <c r="K87" s="9">
        <f t="shared" si="36"/>
        <v>166.47640864882248</v>
      </c>
      <c r="L87" s="9">
        <f t="shared" si="36"/>
        <v>226.16256157635462</v>
      </c>
      <c r="M87" s="8" t="s">
        <v>0</v>
      </c>
      <c r="N87" s="8" t="s">
        <v>0</v>
      </c>
    </row>
    <row r="88" spans="2:14" x14ac:dyDescent="0.2">
      <c r="B88" s="6" t="s">
        <v>20</v>
      </c>
      <c r="C88" s="8" t="s">
        <v>0</v>
      </c>
      <c r="D88" s="9">
        <f t="shared" ref="D88:L88" si="37">E65-D82*(D65-D57+D58)</f>
        <v>38.346374730796811</v>
      </c>
      <c r="E88" s="9">
        <f t="shared" si="37"/>
        <v>-105.42973264166</v>
      </c>
      <c r="F88" s="9">
        <f t="shared" si="37"/>
        <v>259.5660417029174</v>
      </c>
      <c r="G88" s="9">
        <f t="shared" si="37"/>
        <v>52.028839437181887</v>
      </c>
      <c r="H88" s="9">
        <f t="shared" si="37"/>
        <v>12.672894590072531</v>
      </c>
      <c r="I88" s="9">
        <f t="shared" si="37"/>
        <v>159.93369963369952</v>
      </c>
      <c r="J88" s="9">
        <f t="shared" si="37"/>
        <v>-66.841396839156005</v>
      </c>
      <c r="K88" s="9">
        <f t="shared" si="37"/>
        <v>156.4776647152413</v>
      </c>
      <c r="L88" s="9">
        <f t="shared" si="37"/>
        <v>160.62037374842913</v>
      </c>
      <c r="M88" s="8" t="s">
        <v>0</v>
      </c>
      <c r="N88" s="8" t="s">
        <v>0</v>
      </c>
    </row>
    <row r="89" spans="2:14" x14ac:dyDescent="0.2">
      <c r="B89" s="6" t="s">
        <v>39</v>
      </c>
      <c r="C89" s="8" t="s">
        <v>0</v>
      </c>
      <c r="D89" s="9">
        <f t="shared" ref="D89:L89" si="38">D87^2*(E61-E62)*(E61-E62+E58)/E61^2*(1/E59-1/E58)+(D61-D62)/(D61-D62+D58)*(D81*D58*(D66-D61))^2/D61^2*(1/D59-1/D58)+(D66-D57)*(E66-D87)*(D66-D61)*(1-D81)/D66/(D61-D62+D58)+(E66-E57)*(E66-E61)/E62+D81^2*(D66-D57)*(D66-D61)/D62</f>
        <v>189916.78252558559</v>
      </c>
      <c r="E89" s="9">
        <f t="shared" si="38"/>
        <v>78800.745264740865</v>
      </c>
      <c r="F89" s="9">
        <f t="shared" si="38"/>
        <v>37817.624587335275</v>
      </c>
      <c r="G89" s="9">
        <f t="shared" si="38"/>
        <v>82744.408770913156</v>
      </c>
      <c r="H89" s="9">
        <f t="shared" si="38"/>
        <v>21388.269360416267</v>
      </c>
      <c r="I89" s="9">
        <f t="shared" si="38"/>
        <v>15500.918332989759</v>
      </c>
      <c r="J89" s="9">
        <f t="shared" si="38"/>
        <v>21386.924164138934</v>
      </c>
      <c r="K89" s="9">
        <f t="shared" si="38"/>
        <v>7591.6992601558813</v>
      </c>
      <c r="L89" s="9">
        <f t="shared" si="38"/>
        <v>43271.745321170536</v>
      </c>
      <c r="M89" s="8"/>
      <c r="N89" s="8"/>
    </row>
    <row r="90" spans="2:14" x14ac:dyDescent="0.2">
      <c r="B90" s="6" t="s">
        <v>73</v>
      </c>
      <c r="C90" s="9"/>
      <c r="D90" s="9">
        <f t="shared" ref="D90:L90" si="39">SQRT(D89)</f>
        <v>435.79442690973639</v>
      </c>
      <c r="E90" s="9">
        <f t="shared" si="39"/>
        <v>280.7147043970815</v>
      </c>
      <c r="F90" s="9">
        <f t="shared" si="39"/>
        <v>194.46754121789908</v>
      </c>
      <c r="G90" s="9">
        <f t="shared" si="39"/>
        <v>287.65327874180952</v>
      </c>
      <c r="H90" s="9">
        <f t="shared" si="39"/>
        <v>146.24728838654161</v>
      </c>
      <c r="I90" s="9">
        <f t="shared" si="39"/>
        <v>124.50268403929996</v>
      </c>
      <c r="J90" s="9">
        <f t="shared" si="39"/>
        <v>146.2426892673235</v>
      </c>
      <c r="K90" s="9">
        <f t="shared" si="39"/>
        <v>87.13035785623677</v>
      </c>
      <c r="L90" s="9">
        <f t="shared" si="39"/>
        <v>208.01861772728549</v>
      </c>
      <c r="M90" s="8" t="s">
        <v>0</v>
      </c>
      <c r="N90" s="8" t="s">
        <v>0</v>
      </c>
    </row>
    <row r="91" spans="2:14" x14ac:dyDescent="0.2">
      <c r="B91" s="6"/>
      <c r="C91" s="9"/>
      <c r="D91" s="9"/>
      <c r="E91" s="9"/>
      <c r="F91" s="9"/>
      <c r="G91" s="9"/>
      <c r="H91" s="9"/>
      <c r="I91" s="9"/>
      <c r="J91" s="9"/>
      <c r="K91" s="9"/>
      <c r="L91" s="9"/>
      <c r="M91" s="8"/>
      <c r="N91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2024-08-27T18:39:24Z</dcterms:created>
  <dcterms:modified xsi:type="dcterms:W3CDTF">2025-10-26T14:23:18Z</dcterms:modified>
</cp:coreProperties>
</file>