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nle/Documents/Dateien/Publikationen/Methodenbuch/Ulmer Texte/Daten/Online/"/>
    </mc:Choice>
  </mc:AlternateContent>
  <xr:revisionPtr revIDLastSave="0" documentId="13_ncr:1_{77FA2612-4DC3-D14A-AB19-6A29F7EB5F10}" xr6:coauthVersionLast="47" xr6:coauthVersionMax="47" xr10:uidLastSave="{00000000-0000-0000-0000-000000000000}"/>
  <bookViews>
    <workbookView xWindow="560" yWindow="500" windowWidth="28240" windowHeight="16140" xr2:uid="{AF5FC842-ACD1-F243-BF56-C82EAFE32E8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7" i="1" l="1"/>
  <c r="E57" i="1"/>
  <c r="F57" i="1"/>
  <c r="G57" i="1"/>
  <c r="H57" i="1"/>
  <c r="I57" i="1"/>
  <c r="J57" i="1"/>
  <c r="K57" i="1"/>
  <c r="L57" i="1"/>
  <c r="D58" i="1"/>
  <c r="E58" i="1"/>
  <c r="F58" i="1"/>
  <c r="G58" i="1"/>
  <c r="H58" i="1"/>
  <c r="I58" i="1"/>
  <c r="J58" i="1"/>
  <c r="K58" i="1"/>
  <c r="L58" i="1"/>
  <c r="C57" i="1"/>
  <c r="C58" i="1"/>
  <c r="D56" i="1"/>
  <c r="E56" i="1"/>
  <c r="F56" i="1"/>
  <c r="G56" i="1"/>
  <c r="H56" i="1"/>
  <c r="I56" i="1"/>
  <c r="J56" i="1"/>
  <c r="K56" i="1"/>
  <c r="L56" i="1"/>
  <c r="C56" i="1"/>
  <c r="M33" i="1" l="1"/>
  <c r="J59" i="1" s="1"/>
  <c r="M32" i="1"/>
  <c r="I59" i="1" s="1"/>
  <c r="M31" i="1"/>
  <c r="H59" i="1" s="1"/>
  <c r="M30" i="1"/>
  <c r="G59" i="1" s="1"/>
  <c r="M29" i="1"/>
  <c r="F59" i="1" s="1"/>
  <c r="M28" i="1"/>
  <c r="E59" i="1" s="1"/>
  <c r="M27" i="1"/>
  <c r="D59" i="1" s="1"/>
  <c r="M26" i="1"/>
  <c r="C59" i="1" s="1"/>
  <c r="M34" i="1"/>
  <c r="K59" i="1" s="1"/>
  <c r="E35" i="1" l="1"/>
  <c r="E62" i="1" s="1"/>
  <c r="F35" i="1"/>
  <c r="F62" i="1" s="1"/>
  <c r="G35" i="1"/>
  <c r="G62" i="1" s="1"/>
  <c r="H35" i="1"/>
  <c r="H62" i="1" s="1"/>
  <c r="I35" i="1"/>
  <c r="I62" i="1" s="1"/>
  <c r="J35" i="1"/>
  <c r="J62" i="1" s="1"/>
  <c r="K35" i="1"/>
  <c r="K62" i="1" s="1"/>
  <c r="L35" i="1"/>
  <c r="L62" i="1" s="1"/>
  <c r="D35" i="1"/>
  <c r="D62" i="1" s="1"/>
  <c r="E40" i="1" l="1"/>
  <c r="E41" i="1" s="1"/>
  <c r="F40" i="1"/>
  <c r="F41" i="1" s="1"/>
  <c r="G40" i="1"/>
  <c r="G41" i="1" s="1"/>
  <c r="G42" i="1" s="1"/>
  <c r="G43" i="1" s="1"/>
  <c r="H40" i="1"/>
  <c r="H41" i="1" s="1"/>
  <c r="H42" i="1" s="1"/>
  <c r="H43" i="1" s="1"/>
  <c r="I40" i="1"/>
  <c r="I41" i="1" s="1"/>
  <c r="I42" i="1" s="1"/>
  <c r="I43" i="1" s="1"/>
  <c r="I44" i="1" s="1"/>
  <c r="J40" i="1"/>
  <c r="J41" i="1" s="1"/>
  <c r="J42" i="1" s="1"/>
  <c r="J43" i="1" s="1"/>
  <c r="J44" i="1" s="1"/>
  <c r="J45" i="1" s="1"/>
  <c r="K40" i="1"/>
  <c r="K41" i="1" s="1"/>
  <c r="K42" i="1" s="1"/>
  <c r="K43" i="1" s="1"/>
  <c r="K44" i="1" s="1"/>
  <c r="K45" i="1" s="1"/>
  <c r="K46" i="1" s="1"/>
  <c r="L40" i="1"/>
  <c r="L41" i="1" s="1"/>
  <c r="L42" i="1" s="1"/>
  <c r="L43" i="1" s="1"/>
  <c r="L44" i="1" s="1"/>
  <c r="L45" i="1" s="1"/>
  <c r="L46" i="1" s="1"/>
  <c r="L47" i="1" s="1"/>
  <c r="D40" i="1"/>
  <c r="L63" i="1" l="1"/>
  <c r="M44" i="1"/>
  <c r="H63" i="1" s="1"/>
  <c r="I45" i="1"/>
  <c r="M47" i="1"/>
  <c r="K63" i="1" s="1"/>
  <c r="L48" i="1"/>
  <c r="M46" i="1"/>
  <c r="J63" i="1" s="1"/>
  <c r="K47" i="1"/>
  <c r="H44" i="1"/>
  <c r="M43" i="1"/>
  <c r="G63" i="1" s="1"/>
  <c r="J46" i="1"/>
  <c r="M45" i="1"/>
  <c r="I63" i="1" s="1"/>
  <c r="M41" i="1"/>
  <c r="E63" i="1" s="1"/>
  <c r="M42" i="1"/>
  <c r="F63" i="1" s="1"/>
  <c r="F42" i="1"/>
  <c r="M40" i="1"/>
  <c r="D63" i="1" s="1"/>
  <c r="D60" i="1" l="1"/>
  <c r="D64" i="1" s="1"/>
  <c r="D61" i="1"/>
  <c r="D75" i="1" s="1"/>
  <c r="D78" i="1" s="1"/>
  <c r="D79" i="1" s="1"/>
  <c r="C80" i="1" l="1"/>
  <c r="C84" i="1" s="1"/>
  <c r="C85" i="1" s="1"/>
  <c r="D65" i="1"/>
  <c r="D74" i="1"/>
  <c r="D76" i="1" s="1"/>
  <c r="D77" i="1" s="1"/>
  <c r="D66" i="1"/>
  <c r="C81" i="1"/>
  <c r="C82" i="1" l="1"/>
  <c r="C83" i="1" s="1"/>
  <c r="D68" i="1"/>
  <c r="D70" i="1" s="1"/>
  <c r="D67" i="1"/>
  <c r="E60" i="1"/>
  <c r="E64" i="1" s="1"/>
  <c r="E61" i="1"/>
  <c r="D80" i="1" s="1"/>
  <c r="D82" i="1" s="1"/>
  <c r="D71" i="1" l="1"/>
  <c r="D69" i="1"/>
  <c r="D73" i="1" s="1"/>
  <c r="E75" i="1"/>
  <c r="E78" i="1" s="1"/>
  <c r="E79" i="1" s="1"/>
  <c r="E65" i="1"/>
  <c r="E67" i="1" s="1"/>
  <c r="E69" i="1" s="1"/>
  <c r="E72" i="1" s="1"/>
  <c r="D84" i="1"/>
  <c r="D83" i="1"/>
  <c r="E66" i="1"/>
  <c r="E68" i="1" s="1"/>
  <c r="E70" i="1" s="1"/>
  <c r="D81" i="1"/>
  <c r="D85" i="1" s="1"/>
  <c r="E74" i="1"/>
  <c r="E76" i="1" s="1"/>
  <c r="E77" i="1" s="1"/>
  <c r="D72" i="1" l="1"/>
  <c r="E73" i="1"/>
  <c r="D86" i="1"/>
  <c r="D88" i="1" s="1"/>
  <c r="E71" i="1"/>
  <c r="D87" i="1"/>
  <c r="F61" i="1"/>
  <c r="E80" i="1" s="1"/>
  <c r="F60" i="1"/>
  <c r="F74" i="1" s="1"/>
  <c r="F76" i="1" s="1"/>
  <c r="F77" i="1" s="1"/>
  <c r="D91" i="1" l="1"/>
  <c r="D90" i="1"/>
  <c r="D89" i="1"/>
  <c r="E82" i="1"/>
  <c r="E83" i="1" s="1"/>
  <c r="F64" i="1"/>
  <c r="F65" i="1"/>
  <c r="F75" i="1"/>
  <c r="F78" i="1" s="1"/>
  <c r="F79" i="1" s="1"/>
  <c r="E81" i="1"/>
  <c r="E85" i="1" l="1"/>
  <c r="D92" i="1"/>
  <c r="E86" i="1"/>
  <c r="F67" i="1"/>
  <c r="F69" i="1" s="1"/>
  <c r="F73" i="1" s="1"/>
  <c r="E87" i="1"/>
  <c r="F66" i="1"/>
  <c r="F68" i="1" s="1"/>
  <c r="F71" i="1" s="1"/>
  <c r="E84" i="1"/>
  <c r="E89" i="1" l="1"/>
  <c r="E88" i="1"/>
  <c r="E90" i="1" s="1"/>
  <c r="F70" i="1"/>
  <c r="F72" i="1"/>
  <c r="G61" i="1"/>
  <c r="F80" i="1" s="1"/>
  <c r="E91" i="1" s="1"/>
  <c r="G60" i="1"/>
  <c r="F81" i="1" s="1"/>
  <c r="G65" i="1" l="1"/>
  <c r="F86" i="1" s="1"/>
  <c r="F85" i="1"/>
  <c r="E92" i="1"/>
  <c r="G75" i="1"/>
  <c r="G78" i="1" s="1"/>
  <c r="G79" i="1" s="1"/>
  <c r="G74" i="1"/>
  <c r="G76" i="1" s="1"/>
  <c r="G77" i="1" s="1"/>
  <c r="F82" i="1"/>
  <c r="G64" i="1"/>
  <c r="G67" i="1" l="1"/>
  <c r="G69" i="1" s="1"/>
  <c r="G72" i="1" s="1"/>
  <c r="F88" i="1"/>
  <c r="F90" i="1" s="1"/>
  <c r="F87" i="1"/>
  <c r="G66" i="1"/>
  <c r="G68" i="1" s="1"/>
  <c r="G70" i="1" s="1"/>
  <c r="G73" i="1"/>
  <c r="F83" i="1"/>
  <c r="F84" i="1"/>
  <c r="F89" i="1" l="1"/>
  <c r="G71" i="1"/>
  <c r="H60" i="1"/>
  <c r="H64" i="1" s="1"/>
  <c r="H61" i="1"/>
  <c r="H65" i="1" s="1"/>
  <c r="H67" i="1" l="1"/>
  <c r="H69" i="1" s="1"/>
  <c r="H73" i="1" s="1"/>
  <c r="H66" i="1"/>
  <c r="H68" i="1" s="1"/>
  <c r="H70" i="1" s="1"/>
  <c r="H75" i="1"/>
  <c r="H78" i="1" s="1"/>
  <c r="H79" i="1" s="1"/>
  <c r="H74" i="1"/>
  <c r="H76" i="1" s="1"/>
  <c r="H77" i="1" s="1"/>
  <c r="G81" i="1"/>
  <c r="G80" i="1"/>
  <c r="G85" i="1" l="1"/>
  <c r="F92" i="1"/>
  <c r="G82" i="1"/>
  <c r="G83" i="1" s="1"/>
  <c r="F91" i="1"/>
  <c r="G87" i="1"/>
  <c r="H72" i="1"/>
  <c r="H71" i="1"/>
  <c r="G86" i="1"/>
  <c r="I61" i="1"/>
  <c r="I75" i="1" s="1"/>
  <c r="I78" i="1" s="1"/>
  <c r="I79" i="1" s="1"/>
  <c r="I60" i="1"/>
  <c r="I64" i="1" s="1"/>
  <c r="G84" i="1" l="1"/>
  <c r="I65" i="1"/>
  <c r="I67" i="1" s="1"/>
  <c r="I69" i="1" s="1"/>
  <c r="I73" i="1" s="1"/>
  <c r="G89" i="1"/>
  <c r="H80" i="1"/>
  <c r="H82" i="1" s="1"/>
  <c r="H83" i="1" s="1"/>
  <c r="I74" i="1"/>
  <c r="I76" i="1" s="1"/>
  <c r="I77" i="1" s="1"/>
  <c r="H81" i="1"/>
  <c r="G88" i="1"/>
  <c r="I66" i="1"/>
  <c r="I68" i="1" s="1"/>
  <c r="I70" i="1" s="1"/>
  <c r="H86" i="1" l="1"/>
  <c r="H88" i="1" s="1"/>
  <c r="H90" i="1" s="1"/>
  <c r="G92" i="1"/>
  <c r="H85" i="1"/>
  <c r="H84" i="1"/>
  <c r="I71" i="1"/>
  <c r="H87" i="1"/>
  <c r="G91" i="1"/>
  <c r="G90" i="1"/>
  <c r="I72" i="1"/>
  <c r="J61" i="1"/>
  <c r="I80" i="1" s="1"/>
  <c r="J60" i="1"/>
  <c r="J74" i="1" s="1"/>
  <c r="J76" i="1" s="1"/>
  <c r="J77" i="1" s="1"/>
  <c r="J75" i="1" l="1"/>
  <c r="J78" i="1" s="1"/>
  <c r="J79" i="1" s="1"/>
  <c r="H89" i="1"/>
  <c r="I82" i="1"/>
  <c r="I83" i="1" s="1"/>
  <c r="H91" i="1"/>
  <c r="J65" i="1"/>
  <c r="I81" i="1"/>
  <c r="J64" i="1"/>
  <c r="I85" i="1" l="1"/>
  <c r="H92" i="1"/>
  <c r="J67" i="1"/>
  <c r="J69" i="1" s="1"/>
  <c r="J73" i="1" s="1"/>
  <c r="I86" i="1"/>
  <c r="I88" i="1" s="1"/>
  <c r="I90" i="1" s="1"/>
  <c r="I87" i="1"/>
  <c r="I89" i="1" s="1"/>
  <c r="J66" i="1"/>
  <c r="J68" i="1" s="1"/>
  <c r="J71" i="1" s="1"/>
  <c r="I84" i="1"/>
  <c r="J72" i="1" l="1"/>
  <c r="J70" i="1"/>
  <c r="K61" i="1"/>
  <c r="K65" i="1" s="1"/>
  <c r="K60" i="1"/>
  <c r="J81" i="1" s="1"/>
  <c r="K74" i="1" l="1"/>
  <c r="K76" i="1" s="1"/>
  <c r="K77" i="1" s="1"/>
  <c r="J85" i="1"/>
  <c r="I92" i="1"/>
  <c r="B96" i="1" s="1"/>
  <c r="K64" i="1"/>
  <c r="K66" i="1" s="1"/>
  <c r="K68" i="1" s="1"/>
  <c r="K67" i="1"/>
  <c r="K69" i="1" s="1"/>
  <c r="K73" i="1" s="1"/>
  <c r="J80" i="1"/>
  <c r="K75" i="1"/>
  <c r="K78" i="1" s="1"/>
  <c r="K79" i="1" s="1"/>
  <c r="K70" i="1" l="1"/>
  <c r="K72" i="1"/>
  <c r="J82" i="1"/>
  <c r="J83" i="1" s="1"/>
  <c r="I91" i="1"/>
  <c r="B95" i="1" s="1"/>
  <c r="J87" i="1"/>
  <c r="K71" i="1"/>
  <c r="J86" i="1"/>
  <c r="J84" i="1" l="1"/>
  <c r="J89" i="1"/>
  <c r="B102" i="1" s="1"/>
  <c r="B108" i="1" s="1"/>
  <c r="B111" i="1" s="1"/>
  <c r="B99" i="1"/>
  <c r="B105" i="1" s="1"/>
  <c r="J88" i="1"/>
  <c r="B98" i="1"/>
  <c r="B104" i="1" s="1"/>
  <c r="B116" i="1" l="1"/>
  <c r="B114" i="1"/>
  <c r="J90" i="1"/>
  <c r="B101" i="1"/>
  <c r="B107" i="1" l="1"/>
  <c r="B110" i="1" s="1"/>
  <c r="B113" i="1" l="1"/>
  <c r="B115" i="1"/>
</calcChain>
</file>

<file path=xl/sharedStrings.xml><?xml version="1.0" encoding="utf-8"?>
<sst xmlns="http://schemas.openxmlformats.org/spreadsheetml/2006/main" count="171" uniqueCount="102">
  <si>
    <t>—</t>
  </si>
  <si>
    <t>rj</t>
  </si>
  <si>
    <t>j</t>
  </si>
  <si>
    <t>Summe</t>
  </si>
  <si>
    <t>i</t>
  </si>
  <si>
    <t>ni</t>
  </si>
  <si>
    <t>Ri</t>
  </si>
  <si>
    <t>i/j</t>
  </si>
  <si>
    <t>Die blauen Werte werden bei den Zeilensummen ignoriert</t>
  </si>
  <si>
    <t>z2</t>
  </si>
  <si>
    <t>z3</t>
  </si>
  <si>
    <t>z4</t>
  </si>
  <si>
    <t>z5</t>
  </si>
  <si>
    <t>z6</t>
  </si>
  <si>
    <t>z7</t>
  </si>
  <si>
    <t>z8</t>
  </si>
  <si>
    <t>z9</t>
  </si>
  <si>
    <t>z10</t>
  </si>
  <si>
    <t>ri</t>
  </si>
  <si>
    <t>Mi (bias adjusted)</t>
  </si>
  <si>
    <t>Mi</t>
  </si>
  <si>
    <t>mi</t>
  </si>
  <si>
    <t>zi</t>
  </si>
  <si>
    <t>90%-CI oben (adjusted)</t>
  </si>
  <si>
    <t>90%-CI unten (adjusted)</t>
  </si>
  <si>
    <t>90%-CI unten</t>
  </si>
  <si>
    <t>90%-CI oben</t>
  </si>
  <si>
    <r>
      <rPr>
        <sz val="12"/>
        <color theme="1"/>
        <rFont val="Symbol"/>
        <charset val="2"/>
      </rPr>
      <t>f</t>
    </r>
    <r>
      <rPr>
        <sz val="12"/>
        <color theme="1"/>
        <rFont val="Calibri"/>
        <family val="2"/>
        <scheme val="minor"/>
      </rPr>
      <t>i (adjusted)</t>
    </r>
  </si>
  <si>
    <t>pi (adjusted)</t>
  </si>
  <si>
    <t>pi</t>
  </si>
  <si>
    <t>Var (pi) adjusted</t>
  </si>
  <si>
    <t>Var (pi)</t>
  </si>
  <si>
    <r>
      <rPr>
        <sz val="12"/>
        <color theme="1"/>
        <rFont val="Symbol"/>
        <charset val="2"/>
      </rPr>
      <t>f</t>
    </r>
    <r>
      <rPr>
        <sz val="12"/>
        <color theme="1"/>
        <rFont val="Calibri"/>
        <family val="2"/>
        <scheme val="minor"/>
      </rPr>
      <t>i</t>
    </r>
  </si>
  <si>
    <r>
      <t>Var (</t>
    </r>
    <r>
      <rPr>
        <sz val="12"/>
        <color theme="1"/>
        <rFont val="Symbol"/>
        <charset val="2"/>
      </rPr>
      <t>f</t>
    </r>
    <r>
      <rPr>
        <sz val="12"/>
        <color theme="1"/>
        <rFont val="Calibri"/>
        <family val="2"/>
        <scheme val="minor"/>
      </rPr>
      <t>i) (sampling)</t>
    </r>
  </si>
  <si>
    <t>Ni (adjusted)</t>
  </si>
  <si>
    <t>Ni</t>
  </si>
  <si>
    <t>Var Ni</t>
  </si>
  <si>
    <t>–</t>
  </si>
  <si>
    <t>Cov(Bi;Bi+1)</t>
  </si>
  <si>
    <t>Summe Bi</t>
  </si>
  <si>
    <t>Summe Var(Bi)</t>
  </si>
  <si>
    <t>Cov(Bi;Bi+1)-adjusted</t>
  </si>
  <si>
    <t>Summe Var(Bi)-adjusted</t>
  </si>
  <si>
    <t>Summe Bi adjusted</t>
  </si>
  <si>
    <t>Var (Bi) adjusted</t>
  </si>
  <si>
    <t>Datenquelle</t>
  </si>
  <si>
    <t>Wenzel et al. 1995 und unveröffentlich</t>
  </si>
  <si>
    <r>
      <t xml:space="preserve">Wenzel, S., Jagla, W., Henle, K. (1995): Abundanzdynamik und Laichplatztreue von </t>
    </r>
    <r>
      <rPr>
        <i/>
        <sz val="11"/>
        <color theme="1"/>
        <rFont val="Calibri"/>
        <family val="2"/>
        <scheme val="minor"/>
      </rPr>
      <t>Triturus cristatus</t>
    </r>
    <r>
      <rPr>
        <sz val="11"/>
        <color theme="1"/>
        <rFont val="Calibri"/>
        <family val="2"/>
        <scheme val="minor"/>
      </rPr>
      <t xml:space="preserve"> und </t>
    </r>
    <r>
      <rPr>
        <i/>
        <sz val="11"/>
        <color theme="1"/>
        <rFont val="Calibri"/>
        <family val="2"/>
        <scheme val="minor"/>
      </rPr>
      <t>Triturus vulgaris</t>
    </r>
    <r>
      <rPr>
        <sz val="11"/>
        <color theme="1"/>
        <rFont val="Calibri"/>
        <family val="2"/>
        <scheme val="minor"/>
      </rPr>
      <t xml:space="preserve"> in zwei Kleingewässern einer Auskiesung bei St. Augustin (Nordrhein-Westfalen). – Salamandra 31: 209–230</t>
    </r>
  </si>
  <si>
    <t>Bi</t>
  </si>
  <si>
    <r>
      <t xml:space="preserve">Gesamtzahl der Exemplare, die zwischen der 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-ten und (</t>
    </r>
    <r>
      <rPr>
        <i/>
        <sz val="11"/>
        <color theme="1"/>
        <rFont val="Calibri"/>
        <family val="2"/>
        <scheme val="minor"/>
      </rPr>
      <t>i+</t>
    </r>
    <r>
      <rPr>
        <sz val="11"/>
        <color theme="1"/>
        <rFont val="Calibri"/>
        <family val="2"/>
        <scheme val="minor"/>
      </rPr>
      <t>1)-ten Erfassung zur Population neu hinzugekommen sind und zum Zeitpunkt der (</t>
    </r>
    <r>
      <rPr>
        <i/>
        <sz val="11"/>
        <color theme="1"/>
        <rFont val="Calibri"/>
        <family val="2"/>
        <scheme val="minor"/>
      </rPr>
      <t>i+</t>
    </r>
    <r>
      <rPr>
        <sz val="11"/>
        <color theme="1"/>
        <rFont val="Calibri"/>
        <family val="2"/>
        <scheme val="minor"/>
      </rPr>
      <t>1)-ten Erfassung sich noch in der Population befinden</t>
    </r>
  </si>
  <si>
    <t>i und j</t>
  </si>
  <si>
    <t>Fanggelegenheit</t>
  </si>
  <si>
    <r>
      <t xml:space="preserve">Anzahl Individuen von </t>
    </r>
    <r>
      <rPr>
        <i/>
        <sz val="11"/>
        <color theme="1"/>
        <rFont val="Calibri"/>
        <family val="2"/>
        <scheme val="minor"/>
      </rPr>
      <t>R</t>
    </r>
    <r>
      <rPr>
        <i/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, die zum Zeitpunkt 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freigelassen und bei einem späteren Fangtermin wiedergefangen wurden</t>
    </r>
  </si>
  <si>
    <r>
      <t xml:space="preserve">Anzahl markierter Individuen, die bei der 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-ten Erfassung wiedergefangen/festgestellt wurden</t>
    </r>
  </si>
  <si>
    <r>
      <t xml:space="preserve">Anzahl markierter Tiere, die sich zum Zeitpunkt der 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-ten Erfassung in der Population befinden</t>
    </r>
  </si>
  <si>
    <r>
      <t xml:space="preserve">Überlebenswahrscheinlichkeit aller Tiere zwischen der 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-ten und (</t>
    </r>
    <r>
      <rPr>
        <i/>
        <sz val="11"/>
        <color theme="1"/>
        <rFont val="Calibri"/>
        <family val="2"/>
        <scheme val="minor"/>
      </rPr>
      <t>i+</t>
    </r>
    <r>
      <rPr>
        <sz val="11"/>
        <color theme="1"/>
        <rFont val="Calibri"/>
        <family val="2"/>
        <scheme val="minor"/>
      </rPr>
      <t>1)-ten Erfassung</t>
    </r>
  </si>
  <si>
    <t>s.e.</t>
  </si>
  <si>
    <r>
      <rPr>
        <sz val="11"/>
        <color theme="1"/>
        <rFont val="Calibri"/>
        <family val="2"/>
        <scheme val="minor"/>
      </rPr>
      <t xml:space="preserve">Anzahl Tiere, die vor der Fanggelegenheit 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markiert und bei Fanggelegenheit 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nicht, jedoch bei einer späteren Fanggelegenheit wiedergefangen wurden. Die blauen Werte werden bei der Summe ignoriert.</t>
    </r>
  </si>
  <si>
    <t>Berechnung der geschätzten Populationsparameter</t>
  </si>
  <si>
    <t>Striche bedeuten, dass die Werte nicht berechnet werden können</t>
  </si>
  <si>
    <t>s.e. (Ni) (adjusted)</t>
  </si>
  <si>
    <t xml:space="preserve">s.e. (Ni) </t>
  </si>
  <si>
    <t>s.e. (pi) (adjusted)</t>
  </si>
  <si>
    <t>s.e. (pi)</t>
  </si>
  <si>
    <r>
      <t>Var (</t>
    </r>
    <r>
      <rPr>
        <sz val="12"/>
        <color theme="1"/>
        <rFont val="Symbol"/>
        <charset val="2"/>
      </rPr>
      <t>f</t>
    </r>
    <r>
      <rPr>
        <sz val="12"/>
        <color theme="1"/>
        <rFont val="Calibri"/>
        <family val="2"/>
        <scheme val="minor"/>
      </rPr>
      <t>i) (of sampling and survival)</t>
    </r>
  </si>
  <si>
    <r>
      <t>s.e. (</t>
    </r>
    <r>
      <rPr>
        <sz val="12"/>
        <color theme="1"/>
        <rFont val="Symbol"/>
        <charset val="2"/>
      </rPr>
      <t>f</t>
    </r>
    <r>
      <rPr>
        <sz val="12"/>
        <color theme="1"/>
        <rFont val="Calibri"/>
        <family val="2"/>
        <scheme val="minor"/>
      </rPr>
      <t>i) (of sampling+survival)</t>
    </r>
  </si>
  <si>
    <r>
      <t>s.e. (</t>
    </r>
    <r>
      <rPr>
        <sz val="12"/>
        <color theme="1"/>
        <rFont val="Symbol"/>
        <charset val="2"/>
      </rPr>
      <t>f</t>
    </r>
    <r>
      <rPr>
        <sz val="12"/>
        <color theme="1"/>
        <rFont val="Calibri"/>
        <family val="2"/>
        <scheme val="minor"/>
      </rPr>
      <t>i) (sampling)</t>
    </r>
  </si>
  <si>
    <t>Var (Bi)</t>
  </si>
  <si>
    <t>Bi (adjusted)</t>
  </si>
  <si>
    <t>s.e. (Bi)</t>
  </si>
  <si>
    <t>Summe Covarianz-adjusted</t>
  </si>
  <si>
    <t>Summe Covarianz</t>
  </si>
  <si>
    <t>s.e. adjusted</t>
  </si>
  <si>
    <t>VarNi (adjusted)</t>
  </si>
  <si>
    <t>Standardfehler</t>
  </si>
  <si>
    <t>Fangdaten und Tabellarische Berechnung von mi und rj - Auszug der Daten in Tab. 11.5</t>
  </si>
  <si>
    <t>Tabellarische Berechnung von zi+1 - Auszug der Daten in Tab. 11.5</t>
  </si>
  <si>
    <t>Tab. 11.6</t>
  </si>
  <si>
    <t>N-gesamt</t>
  </si>
  <si>
    <t>N-gesamt-adjusted</t>
  </si>
  <si>
    <t>Var(N-gesamt)</t>
  </si>
  <si>
    <t>Var(N-gesamt)-adjusted</t>
  </si>
  <si>
    <t>90%-CI von N-gesamt unten</t>
  </si>
  <si>
    <t>90%-CI von N-gesamt (adjusted) unten</t>
  </si>
  <si>
    <t>90%-CI von N-gesamt oben</t>
  </si>
  <si>
    <t>90%-CI von N-gesamt (adjusted) oben</t>
  </si>
  <si>
    <t>CI</t>
  </si>
  <si>
    <t>Parameterdefinitionen</t>
  </si>
  <si>
    <t>Vertrauensintervall</t>
  </si>
  <si>
    <r>
      <t xml:space="preserve">Anzahl bei Fanggelegenheit </t>
    </r>
    <r>
      <rPr>
        <i/>
        <sz val="12"/>
        <color theme="1"/>
        <rFont val="Calibri"/>
        <family val="2"/>
        <scheme val="minor"/>
      </rPr>
      <t>i</t>
    </r>
    <r>
      <rPr>
        <sz val="12"/>
        <color theme="1"/>
        <rFont val="Calibri"/>
        <family val="2"/>
        <scheme val="minor"/>
      </rPr>
      <t xml:space="preserve"> gefangener Kammmolche</t>
    </r>
  </si>
  <si>
    <r>
      <t xml:space="preserve">Anzahl bei Fanggelegenheit </t>
    </r>
    <r>
      <rPr>
        <i/>
        <sz val="12"/>
        <color theme="1"/>
        <rFont val="Calibri"/>
        <family val="2"/>
        <scheme val="minor"/>
      </rPr>
      <t>i</t>
    </r>
    <r>
      <rPr>
        <sz val="12"/>
        <color theme="1"/>
        <rFont val="Calibri"/>
        <family val="2"/>
        <scheme val="minor"/>
      </rPr>
      <t xml:space="preserve"> freigelassener Kammmolche</t>
    </r>
  </si>
  <si>
    <r>
      <t xml:space="preserve">geschätzte Populationsgröße zum Zeitpunkt </t>
    </r>
    <r>
      <rPr>
        <i/>
        <sz val="11"/>
        <color theme="1"/>
        <rFont val="Calibri"/>
        <family val="2"/>
        <scheme val="minor"/>
      </rPr>
      <t>i</t>
    </r>
  </si>
  <si>
    <r>
      <t xml:space="preserve">Fangwahrscheinlichkeit bei Fanggelegenheit </t>
    </r>
    <r>
      <rPr>
        <i/>
        <sz val="11"/>
        <color theme="1"/>
        <rFont val="Calibri"/>
        <family val="2"/>
        <scheme val="minor"/>
      </rPr>
      <t>i</t>
    </r>
  </si>
  <si>
    <t>rj (Zeilensummen)</t>
  </si>
  <si>
    <t>Summen</t>
  </si>
  <si>
    <t>z(i+1)</t>
  </si>
  <si>
    <t>Die Varianz für die Überlebensrate wird sowohl bezogen auf die Erfassung (sampling) als auch auf Erfassung plus Überlebensprozess (survival) berechnet</t>
  </si>
  <si>
    <t>Tabelle 11.46im Buch ist ein Auszug aus diese Tabelle; die Populationsparameter werden hier sowohl mitden Formeln für (adjusted) und ohne Bias-Korrektur berechnet</t>
  </si>
  <si>
    <t>Die Anzahl zwischen zwei aufeinanderfolgenden Perioden hinzukommenden Individuen sind korreliert, daher muss deren Covarianz berücksichtigt werden</t>
  </si>
  <si>
    <t xml:space="preserve">Aufgrund der geringen Fangzahlen sind die Schätzungen ohne Bias-Korrektur hier nur zum Vergleich berechnet worden. </t>
  </si>
  <si>
    <t>Die Schätzungen ohne Korrektur von systematischen Fehlern sind deutlich schlechter als die mit deren Berücksichtigung</t>
  </si>
  <si>
    <r>
      <t xml:space="preserve">Tab. 11.5-11.6, Beispiel 11.2 Schätzung der Gesamtgröße der Laichpopulation von Kammmolchen </t>
    </r>
    <r>
      <rPr>
        <b/>
        <i/>
        <sz val="12"/>
        <color theme="1"/>
        <rFont val="Times New Roman"/>
        <family val="1"/>
      </rPr>
      <t>(Triturus cristatus</t>
    </r>
    <r>
      <rPr>
        <b/>
        <sz val="12"/>
        <color theme="1"/>
        <rFont val="Times New Roman"/>
        <family val="1"/>
      </rPr>
      <t>) mit Jolly-Seber-Modell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</si>
</sst>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color rgb="FF0070C0"/>
      <name val="Calibri"/>
      <family val="2"/>
      <scheme val="minor"/>
    </font>
    <font>
      <b/>
      <sz val="11"/>
      <color theme="1"/>
      <name val="Arial"/>
      <family val="2"/>
    </font>
    <font>
      <sz val="12"/>
      <color theme="1"/>
      <name val="Symbol"/>
      <charset val="2"/>
    </font>
    <font>
      <sz val="12"/>
      <color theme="1"/>
      <name val="Calibri (Textkörper)"/>
    </font>
    <font>
      <sz val="12"/>
      <color theme="1"/>
      <name val="Calibri"/>
      <family val="2"/>
      <charset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vertAlign val="subscript"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 applyAlignment="1">
      <alignment vertical="center" wrapText="1"/>
    </xf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164" fontId="0" fillId="0" borderId="0" xfId="0" applyNumberFormat="1"/>
    <xf numFmtId="2" fontId="0" fillId="0" borderId="0" xfId="0" applyNumberFormat="1" applyProtection="1"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2" fontId="0" fillId="0" borderId="0" xfId="0" applyNumberFormat="1"/>
    <xf numFmtId="0" fontId="10" fillId="0" borderId="0" xfId="0" applyFont="1"/>
    <xf numFmtId="0" fontId="1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C2D4-4E79-7041-B5D8-514672AAD27D}">
  <dimension ref="A1:R118"/>
  <sheetViews>
    <sheetView tabSelected="1" zoomScale="143" zoomScaleNormal="120" workbookViewId="0">
      <selection activeCell="A2" sqref="A2"/>
    </sheetView>
  </sheetViews>
  <sheetFormatPr baseColWidth="10" defaultRowHeight="16" x14ac:dyDescent="0.2"/>
  <cols>
    <col min="1" max="1" width="32.5" customWidth="1"/>
    <col min="2" max="7" width="11" bestFit="1" customWidth="1"/>
    <col min="8" max="8" width="12.83203125" bestFit="1" customWidth="1"/>
    <col min="9" max="10" width="11" bestFit="1" customWidth="1"/>
  </cols>
  <sheetData>
    <row r="1" spans="1:18" x14ac:dyDescent="0.2">
      <c r="A1" s="2" t="s">
        <v>101</v>
      </c>
    </row>
    <row r="2" spans="1:18" x14ac:dyDescent="0.2">
      <c r="A2" t="s">
        <v>45</v>
      </c>
      <c r="B2" t="s">
        <v>46</v>
      </c>
      <c r="Q2" s="1"/>
      <c r="R2" s="1"/>
    </row>
    <row r="3" spans="1:18" x14ac:dyDescent="0.2">
      <c r="B3" s="13" t="s">
        <v>47</v>
      </c>
      <c r="Q3" s="1"/>
      <c r="R3" s="1"/>
    </row>
    <row r="4" spans="1:18" x14ac:dyDescent="0.2">
      <c r="B4" s="13"/>
      <c r="Q4" s="1"/>
      <c r="R4" s="1"/>
    </row>
    <row r="5" spans="1:18" x14ac:dyDescent="0.2">
      <c r="A5" s="3" t="s">
        <v>87</v>
      </c>
      <c r="B5" s="13"/>
      <c r="Q5" s="1"/>
      <c r="R5" s="1"/>
    </row>
    <row r="6" spans="1:18" x14ac:dyDescent="0.2">
      <c r="A6" t="s">
        <v>48</v>
      </c>
      <c r="B6" s="13" t="s">
        <v>49</v>
      </c>
      <c r="Q6" s="1"/>
      <c r="R6" s="1"/>
    </row>
    <row r="7" spans="1:18" x14ac:dyDescent="0.2">
      <c r="A7" t="s">
        <v>86</v>
      </c>
      <c r="B7" s="13" t="s">
        <v>88</v>
      </c>
      <c r="Q7" s="1"/>
      <c r="R7" s="1"/>
    </row>
    <row r="8" spans="1:18" x14ac:dyDescent="0.2">
      <c r="A8" t="s">
        <v>50</v>
      </c>
      <c r="B8" t="s">
        <v>51</v>
      </c>
      <c r="Q8" s="1"/>
      <c r="R8" s="1"/>
    </row>
    <row r="9" spans="1:18" x14ac:dyDescent="0.2">
      <c r="A9" t="s">
        <v>5</v>
      </c>
      <c r="B9" t="s">
        <v>89</v>
      </c>
      <c r="Q9" s="1"/>
      <c r="R9" s="1"/>
    </row>
    <row r="10" spans="1:18" x14ac:dyDescent="0.2">
      <c r="A10" t="s">
        <v>6</v>
      </c>
      <c r="B10" t="s">
        <v>90</v>
      </c>
      <c r="Q10" s="1"/>
      <c r="R10" s="1"/>
    </row>
    <row r="11" spans="1:18" ht="17" x14ac:dyDescent="0.25">
      <c r="A11" t="s">
        <v>1</v>
      </c>
      <c r="B11" s="13" t="s">
        <v>52</v>
      </c>
      <c r="Q11" s="1"/>
      <c r="R11" s="1"/>
    </row>
    <row r="12" spans="1:18" x14ac:dyDescent="0.2">
      <c r="A12" t="s">
        <v>21</v>
      </c>
      <c r="B12" s="13" t="s">
        <v>53</v>
      </c>
      <c r="Q12" s="1"/>
      <c r="R12" s="1"/>
    </row>
    <row r="13" spans="1:18" x14ac:dyDescent="0.2">
      <c r="A13" t="s">
        <v>20</v>
      </c>
      <c r="B13" s="13" t="s">
        <v>54</v>
      </c>
      <c r="Q13" s="1"/>
      <c r="R13" s="1"/>
    </row>
    <row r="14" spans="1:18" x14ac:dyDescent="0.2">
      <c r="A14" t="s">
        <v>35</v>
      </c>
      <c r="B14" s="13" t="s">
        <v>91</v>
      </c>
      <c r="Q14" s="1"/>
      <c r="R14" s="1"/>
    </row>
    <row r="15" spans="1:18" x14ac:dyDescent="0.2">
      <c r="A15" t="s">
        <v>29</v>
      </c>
      <c r="B15" s="13" t="s">
        <v>92</v>
      </c>
      <c r="Q15" s="1"/>
      <c r="R15" s="1"/>
    </row>
    <row r="16" spans="1:18" x14ac:dyDescent="0.2">
      <c r="A16" s="10" t="s">
        <v>32</v>
      </c>
      <c r="B16" s="13" t="s">
        <v>55</v>
      </c>
      <c r="Q16" s="1"/>
      <c r="R16" s="1"/>
    </row>
    <row r="17" spans="1:18" x14ac:dyDescent="0.2">
      <c r="A17" t="s">
        <v>56</v>
      </c>
      <c r="B17" s="13" t="s">
        <v>74</v>
      </c>
      <c r="Q17" s="1"/>
      <c r="R17" s="1"/>
    </row>
    <row r="18" spans="1:18" x14ac:dyDescent="0.2">
      <c r="A18" t="s">
        <v>22</v>
      </c>
      <c r="B18" s="14" t="s">
        <v>57</v>
      </c>
      <c r="Q18" s="1"/>
      <c r="R18" s="1"/>
    </row>
    <row r="19" spans="1:18" x14ac:dyDescent="0.2">
      <c r="Q19" s="1"/>
      <c r="R19" s="1"/>
    </row>
    <row r="20" spans="1:18" x14ac:dyDescent="0.2">
      <c r="A20" s="2" t="s">
        <v>75</v>
      </c>
      <c r="Q20" s="1"/>
      <c r="R20" s="1"/>
    </row>
    <row r="21" spans="1:18" x14ac:dyDescent="0.2">
      <c r="Q21" s="1"/>
      <c r="R21" s="1"/>
    </row>
    <row r="22" spans="1:18" x14ac:dyDescent="0.2">
      <c r="B22" s="3" t="s">
        <v>4</v>
      </c>
      <c r="C22" s="5">
        <v>1</v>
      </c>
      <c r="D22" s="5">
        <v>2</v>
      </c>
      <c r="E22" s="5">
        <v>3</v>
      </c>
      <c r="F22" s="5">
        <v>4</v>
      </c>
      <c r="G22" s="5">
        <v>5</v>
      </c>
      <c r="H22" s="5">
        <v>6</v>
      </c>
      <c r="I22" s="5">
        <v>7</v>
      </c>
      <c r="J22" s="5">
        <v>8</v>
      </c>
      <c r="K22" s="5">
        <v>9</v>
      </c>
      <c r="L22" s="5">
        <v>10</v>
      </c>
    </row>
    <row r="23" spans="1:18" x14ac:dyDescent="0.2">
      <c r="B23" s="3" t="s">
        <v>5</v>
      </c>
      <c r="C23">
        <v>3</v>
      </c>
      <c r="D23">
        <v>8</v>
      </c>
      <c r="E23">
        <v>6</v>
      </c>
      <c r="F23">
        <v>5</v>
      </c>
      <c r="G23">
        <v>16</v>
      </c>
      <c r="H23">
        <v>17</v>
      </c>
      <c r="I23">
        <v>12</v>
      </c>
      <c r="J23">
        <v>12</v>
      </c>
      <c r="K23">
        <v>9</v>
      </c>
      <c r="L23">
        <v>9</v>
      </c>
    </row>
    <row r="24" spans="1:18" x14ac:dyDescent="0.2">
      <c r="B24" s="3" t="s">
        <v>6</v>
      </c>
      <c r="C24">
        <v>3</v>
      </c>
      <c r="D24">
        <v>8</v>
      </c>
      <c r="E24">
        <v>6</v>
      </c>
      <c r="F24">
        <v>5</v>
      </c>
      <c r="G24">
        <v>16</v>
      </c>
      <c r="H24">
        <v>17</v>
      </c>
      <c r="I24">
        <v>12</v>
      </c>
      <c r="J24">
        <v>12</v>
      </c>
      <c r="K24">
        <v>9</v>
      </c>
      <c r="L24">
        <v>9</v>
      </c>
      <c r="M24" s="3"/>
    </row>
    <row r="25" spans="1:18" x14ac:dyDescent="0.2">
      <c r="A25" s="3" t="s">
        <v>2</v>
      </c>
      <c r="M25" s="3" t="s">
        <v>93</v>
      </c>
    </row>
    <row r="26" spans="1:18" x14ac:dyDescent="0.2">
      <c r="A26" s="3">
        <v>1</v>
      </c>
      <c r="D26" s="1">
        <v>1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1</v>
      </c>
      <c r="L26" s="1">
        <v>0</v>
      </c>
      <c r="M26">
        <f>SUM(D26:L26)</f>
        <v>2</v>
      </c>
    </row>
    <row r="27" spans="1:18" x14ac:dyDescent="0.2">
      <c r="A27" s="3">
        <v>2</v>
      </c>
      <c r="E27" s="1">
        <v>2</v>
      </c>
      <c r="F27" s="1">
        <v>1</v>
      </c>
      <c r="G27" s="1">
        <v>1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>
        <f>SUM(D27:L27)</f>
        <v>4</v>
      </c>
    </row>
    <row r="28" spans="1:18" x14ac:dyDescent="0.2">
      <c r="A28" s="3">
        <v>3</v>
      </c>
      <c r="F28" s="1">
        <v>1</v>
      </c>
      <c r="G28" s="1">
        <v>4</v>
      </c>
      <c r="H28" s="1">
        <v>1</v>
      </c>
      <c r="I28" s="1">
        <v>0</v>
      </c>
      <c r="J28" s="1">
        <v>0</v>
      </c>
      <c r="K28" s="1">
        <v>0</v>
      </c>
      <c r="L28" s="1">
        <v>0</v>
      </c>
      <c r="M28">
        <f t="shared" ref="M28:M34" si="0">SUM(E28:L28)</f>
        <v>6</v>
      </c>
    </row>
    <row r="29" spans="1:18" x14ac:dyDescent="0.2">
      <c r="A29" s="3">
        <v>4</v>
      </c>
      <c r="G29" s="1">
        <v>2</v>
      </c>
      <c r="H29" s="1">
        <v>2</v>
      </c>
      <c r="I29" s="1">
        <v>0</v>
      </c>
      <c r="J29" s="1">
        <v>0</v>
      </c>
      <c r="K29" s="1">
        <v>0</v>
      </c>
      <c r="L29" s="1">
        <v>0</v>
      </c>
      <c r="M29">
        <f t="shared" si="0"/>
        <v>4</v>
      </c>
    </row>
    <row r="30" spans="1:18" x14ac:dyDescent="0.2">
      <c r="A30" s="3">
        <v>5</v>
      </c>
      <c r="H30" s="1">
        <v>12</v>
      </c>
      <c r="I30" s="1">
        <v>1</v>
      </c>
      <c r="J30" s="1">
        <v>0</v>
      </c>
      <c r="K30" s="1">
        <v>0</v>
      </c>
      <c r="L30" s="1">
        <v>0</v>
      </c>
      <c r="M30">
        <f t="shared" si="0"/>
        <v>13</v>
      </c>
    </row>
    <row r="31" spans="1:18" x14ac:dyDescent="0.2">
      <c r="A31" s="3">
        <v>6</v>
      </c>
      <c r="I31" s="1">
        <v>11</v>
      </c>
      <c r="J31" s="1">
        <v>4</v>
      </c>
      <c r="K31" s="1">
        <v>0</v>
      </c>
      <c r="L31" s="1">
        <v>1</v>
      </c>
      <c r="M31">
        <f t="shared" si="0"/>
        <v>16</v>
      </c>
    </row>
    <row r="32" spans="1:18" x14ac:dyDescent="0.2">
      <c r="A32" s="3">
        <v>7</v>
      </c>
      <c r="J32" s="1">
        <v>7</v>
      </c>
      <c r="K32" s="1">
        <v>2</v>
      </c>
      <c r="L32" s="1">
        <v>0</v>
      </c>
      <c r="M32">
        <f t="shared" si="0"/>
        <v>9</v>
      </c>
    </row>
    <row r="33" spans="1:14" x14ac:dyDescent="0.2">
      <c r="A33" s="3">
        <v>8</v>
      </c>
      <c r="K33" s="1">
        <v>7</v>
      </c>
      <c r="L33" s="1">
        <v>2</v>
      </c>
      <c r="M33">
        <f t="shared" si="0"/>
        <v>9</v>
      </c>
    </row>
    <row r="34" spans="1:14" x14ac:dyDescent="0.2">
      <c r="A34" s="3">
        <v>9</v>
      </c>
      <c r="L34" s="1">
        <v>5</v>
      </c>
      <c r="M34">
        <f t="shared" si="0"/>
        <v>5</v>
      </c>
    </row>
    <row r="35" spans="1:14" x14ac:dyDescent="0.2">
      <c r="A35" s="3" t="s">
        <v>3</v>
      </c>
      <c r="B35" s="3" t="s">
        <v>21</v>
      </c>
      <c r="C35">
        <v>0</v>
      </c>
      <c r="D35">
        <f t="shared" ref="D35:L35" si="1">SUM(D26:D34)</f>
        <v>1</v>
      </c>
      <c r="E35">
        <f t="shared" si="1"/>
        <v>2</v>
      </c>
      <c r="F35">
        <f t="shared" si="1"/>
        <v>2</v>
      </c>
      <c r="G35">
        <f t="shared" si="1"/>
        <v>7</v>
      </c>
      <c r="H35">
        <f t="shared" si="1"/>
        <v>15</v>
      </c>
      <c r="I35">
        <f t="shared" si="1"/>
        <v>12</v>
      </c>
      <c r="J35">
        <f t="shared" si="1"/>
        <v>11</v>
      </c>
      <c r="K35">
        <f t="shared" si="1"/>
        <v>10</v>
      </c>
      <c r="L35">
        <f t="shared" si="1"/>
        <v>8</v>
      </c>
    </row>
    <row r="37" spans="1:14" x14ac:dyDescent="0.2">
      <c r="A37" s="3" t="s">
        <v>76</v>
      </c>
    </row>
    <row r="38" spans="1:14" x14ac:dyDescent="0.2">
      <c r="A38" t="s">
        <v>8</v>
      </c>
    </row>
    <row r="39" spans="1:14" x14ac:dyDescent="0.2">
      <c r="B39" s="3" t="s">
        <v>7</v>
      </c>
      <c r="C39" s="5">
        <v>1</v>
      </c>
      <c r="D39" s="5">
        <v>2</v>
      </c>
      <c r="E39" s="5">
        <v>3</v>
      </c>
      <c r="F39" s="5">
        <v>4</v>
      </c>
      <c r="G39" s="5">
        <v>5</v>
      </c>
      <c r="H39" s="5">
        <v>6</v>
      </c>
      <c r="I39" s="5">
        <v>7</v>
      </c>
      <c r="J39" s="5">
        <v>8</v>
      </c>
      <c r="K39" s="5">
        <v>9</v>
      </c>
      <c r="L39" s="5">
        <v>10</v>
      </c>
      <c r="M39" s="3" t="s">
        <v>94</v>
      </c>
      <c r="N39" t="s">
        <v>95</v>
      </c>
    </row>
    <row r="40" spans="1:14" x14ac:dyDescent="0.2">
      <c r="B40" s="3">
        <v>1</v>
      </c>
      <c r="D40" s="4">
        <f t="shared" ref="D40:L40" si="2">D26</f>
        <v>1</v>
      </c>
      <c r="E40">
        <f t="shared" si="2"/>
        <v>0</v>
      </c>
      <c r="F40">
        <f t="shared" si="2"/>
        <v>0</v>
      </c>
      <c r="G40">
        <f t="shared" si="2"/>
        <v>0</v>
      </c>
      <c r="H40">
        <f t="shared" si="2"/>
        <v>0</v>
      </c>
      <c r="I40">
        <f t="shared" si="2"/>
        <v>0</v>
      </c>
      <c r="J40">
        <f t="shared" si="2"/>
        <v>0</v>
      </c>
      <c r="K40">
        <f t="shared" si="2"/>
        <v>1</v>
      </c>
      <c r="L40">
        <f t="shared" si="2"/>
        <v>0</v>
      </c>
      <c r="M40">
        <f>SUM(E40:L40)</f>
        <v>1</v>
      </c>
      <c r="N40" t="s">
        <v>9</v>
      </c>
    </row>
    <row r="41" spans="1:14" x14ac:dyDescent="0.2">
      <c r="B41" s="3">
        <v>2</v>
      </c>
      <c r="E41" s="4">
        <f t="shared" ref="E41:L41" si="3">E40+E27</f>
        <v>2</v>
      </c>
      <c r="F41">
        <f t="shared" si="3"/>
        <v>1</v>
      </c>
      <c r="G41">
        <f t="shared" si="3"/>
        <v>1</v>
      </c>
      <c r="H41">
        <f t="shared" si="3"/>
        <v>0</v>
      </c>
      <c r="I41">
        <f t="shared" si="3"/>
        <v>0</v>
      </c>
      <c r="J41">
        <f t="shared" si="3"/>
        <v>0</v>
      </c>
      <c r="K41">
        <f t="shared" si="3"/>
        <v>1</v>
      </c>
      <c r="L41">
        <f t="shared" si="3"/>
        <v>0</v>
      </c>
      <c r="M41">
        <f>SUM(F41:L41)</f>
        <v>3</v>
      </c>
      <c r="N41" t="s">
        <v>10</v>
      </c>
    </row>
    <row r="42" spans="1:14" x14ac:dyDescent="0.2">
      <c r="B42" s="3">
        <v>3</v>
      </c>
      <c r="F42" s="4">
        <f t="shared" ref="F42:L42" si="4">F41+F28</f>
        <v>2</v>
      </c>
      <c r="G42">
        <f t="shared" si="4"/>
        <v>5</v>
      </c>
      <c r="H42">
        <f t="shared" si="4"/>
        <v>1</v>
      </c>
      <c r="I42">
        <f t="shared" si="4"/>
        <v>0</v>
      </c>
      <c r="J42">
        <f t="shared" si="4"/>
        <v>0</v>
      </c>
      <c r="K42">
        <f t="shared" si="4"/>
        <v>1</v>
      </c>
      <c r="L42">
        <f t="shared" si="4"/>
        <v>0</v>
      </c>
      <c r="M42">
        <f>SUM(G42:L42)</f>
        <v>7</v>
      </c>
      <c r="N42" t="s">
        <v>11</v>
      </c>
    </row>
    <row r="43" spans="1:14" x14ac:dyDescent="0.2">
      <c r="B43" s="3">
        <v>4</v>
      </c>
      <c r="G43" s="4">
        <f t="shared" ref="G43:L43" si="5">G42+G29</f>
        <v>7</v>
      </c>
      <c r="H43">
        <f t="shared" si="5"/>
        <v>3</v>
      </c>
      <c r="I43">
        <f t="shared" si="5"/>
        <v>0</v>
      </c>
      <c r="J43">
        <f t="shared" si="5"/>
        <v>0</v>
      </c>
      <c r="K43">
        <f t="shared" si="5"/>
        <v>1</v>
      </c>
      <c r="L43">
        <f t="shared" si="5"/>
        <v>0</v>
      </c>
      <c r="M43">
        <f>SUM(H43:L43)</f>
        <v>4</v>
      </c>
      <c r="N43" t="s">
        <v>12</v>
      </c>
    </row>
    <row r="44" spans="1:14" x14ac:dyDescent="0.2">
      <c r="B44" s="3">
        <v>5</v>
      </c>
      <c r="H44" s="4">
        <f>H43+H30</f>
        <v>15</v>
      </c>
      <c r="I44">
        <f>I43+I30</f>
        <v>1</v>
      </c>
      <c r="J44">
        <f>J43+J30</f>
        <v>0</v>
      </c>
      <c r="K44">
        <f>K43+K30</f>
        <v>1</v>
      </c>
      <c r="L44">
        <f>L43+L30</f>
        <v>0</v>
      </c>
      <c r="M44">
        <f>SUM(I44:L44)</f>
        <v>2</v>
      </c>
      <c r="N44" t="s">
        <v>13</v>
      </c>
    </row>
    <row r="45" spans="1:14" x14ac:dyDescent="0.2">
      <c r="B45" s="3">
        <v>6</v>
      </c>
      <c r="I45" s="4">
        <f>I44+I31</f>
        <v>12</v>
      </c>
      <c r="J45">
        <f>J44+J31</f>
        <v>4</v>
      </c>
      <c r="K45">
        <f>K44+K31</f>
        <v>1</v>
      </c>
      <c r="L45">
        <f>L44+L31</f>
        <v>1</v>
      </c>
      <c r="M45">
        <f>SUM(J45:L45)</f>
        <v>6</v>
      </c>
      <c r="N45" t="s">
        <v>14</v>
      </c>
    </row>
    <row r="46" spans="1:14" x14ac:dyDescent="0.2">
      <c r="B46" s="3">
        <v>7</v>
      </c>
      <c r="J46" s="4">
        <f>J45+J32</f>
        <v>11</v>
      </c>
      <c r="K46">
        <f>K45+K32</f>
        <v>3</v>
      </c>
      <c r="L46">
        <f>L45+L32</f>
        <v>1</v>
      </c>
      <c r="M46">
        <f>SUM(K46:L46)</f>
        <v>4</v>
      </c>
      <c r="N46" t="s">
        <v>15</v>
      </c>
    </row>
    <row r="47" spans="1:14" x14ac:dyDescent="0.2">
      <c r="B47" s="3">
        <v>8</v>
      </c>
      <c r="K47" s="4">
        <f>K46+K33</f>
        <v>10</v>
      </c>
      <c r="L47">
        <f>L46+L33</f>
        <v>3</v>
      </c>
      <c r="M47">
        <f>SUM(L47:L47)</f>
        <v>3</v>
      </c>
      <c r="N47" t="s">
        <v>16</v>
      </c>
    </row>
    <row r="48" spans="1:14" x14ac:dyDescent="0.2">
      <c r="B48" s="3">
        <v>9</v>
      </c>
      <c r="L48" s="4">
        <f>L47+L34</f>
        <v>8</v>
      </c>
      <c r="M48">
        <v>0</v>
      </c>
      <c r="N48" t="s">
        <v>17</v>
      </c>
    </row>
    <row r="50" spans="1:12" x14ac:dyDescent="0.2">
      <c r="A50" s="3" t="s">
        <v>77</v>
      </c>
      <c r="B50" s="3" t="s">
        <v>58</v>
      </c>
    </row>
    <row r="51" spans="1:12" x14ac:dyDescent="0.2">
      <c r="A51" t="s">
        <v>97</v>
      </c>
    </row>
    <row r="52" spans="1:12" x14ac:dyDescent="0.2">
      <c r="A52" t="s">
        <v>99</v>
      </c>
    </row>
    <row r="53" spans="1:12" x14ac:dyDescent="0.2">
      <c r="A53" t="s">
        <v>96</v>
      </c>
    </row>
    <row r="55" spans="1:12" x14ac:dyDescent="0.2">
      <c r="A55" t="s">
        <v>59</v>
      </c>
    </row>
    <row r="56" spans="1:12" x14ac:dyDescent="0.2">
      <c r="B56" s="6" t="s">
        <v>4</v>
      </c>
      <c r="C56" s="6">
        <f t="shared" ref="C56:L56" si="6">C22</f>
        <v>1</v>
      </c>
      <c r="D56" s="6">
        <f t="shared" si="6"/>
        <v>2</v>
      </c>
      <c r="E56" s="6">
        <f t="shared" si="6"/>
        <v>3</v>
      </c>
      <c r="F56" s="6">
        <f t="shared" si="6"/>
        <v>4</v>
      </c>
      <c r="G56" s="6">
        <f t="shared" si="6"/>
        <v>5</v>
      </c>
      <c r="H56" s="6">
        <f t="shared" si="6"/>
        <v>6</v>
      </c>
      <c r="I56" s="6">
        <f t="shared" si="6"/>
        <v>7</v>
      </c>
      <c r="J56" s="6">
        <f t="shared" si="6"/>
        <v>8</v>
      </c>
      <c r="K56" s="6">
        <f t="shared" si="6"/>
        <v>9</v>
      </c>
      <c r="L56" s="6">
        <f t="shared" si="6"/>
        <v>10</v>
      </c>
    </row>
    <row r="57" spans="1:12" x14ac:dyDescent="0.2">
      <c r="B57" s="6" t="s">
        <v>5</v>
      </c>
      <c r="C57" s="6">
        <f t="shared" ref="C57:L57" si="7">C23</f>
        <v>3</v>
      </c>
      <c r="D57" s="6">
        <f t="shared" si="7"/>
        <v>8</v>
      </c>
      <c r="E57" s="6">
        <f t="shared" si="7"/>
        <v>6</v>
      </c>
      <c r="F57" s="6">
        <f t="shared" si="7"/>
        <v>5</v>
      </c>
      <c r="G57" s="6">
        <f t="shared" si="7"/>
        <v>16</v>
      </c>
      <c r="H57" s="6">
        <f t="shared" si="7"/>
        <v>17</v>
      </c>
      <c r="I57" s="6">
        <f t="shared" si="7"/>
        <v>12</v>
      </c>
      <c r="J57" s="6">
        <f t="shared" si="7"/>
        <v>12</v>
      </c>
      <c r="K57" s="6">
        <f t="shared" si="7"/>
        <v>9</v>
      </c>
      <c r="L57" s="6">
        <f t="shared" si="7"/>
        <v>9</v>
      </c>
    </row>
    <row r="58" spans="1:12" x14ac:dyDescent="0.2">
      <c r="B58" s="6" t="s">
        <v>6</v>
      </c>
      <c r="C58" s="6">
        <f t="shared" ref="C58:L58" si="8">C24</f>
        <v>3</v>
      </c>
      <c r="D58" s="6">
        <f t="shared" si="8"/>
        <v>8</v>
      </c>
      <c r="E58" s="6">
        <f t="shared" si="8"/>
        <v>6</v>
      </c>
      <c r="F58" s="6">
        <f t="shared" si="8"/>
        <v>5</v>
      </c>
      <c r="G58" s="6">
        <f t="shared" si="8"/>
        <v>16</v>
      </c>
      <c r="H58" s="6">
        <f t="shared" si="8"/>
        <v>17</v>
      </c>
      <c r="I58" s="6">
        <f t="shared" si="8"/>
        <v>12</v>
      </c>
      <c r="J58" s="6">
        <f t="shared" si="8"/>
        <v>12</v>
      </c>
      <c r="K58" s="6">
        <f t="shared" si="8"/>
        <v>9</v>
      </c>
      <c r="L58" s="6">
        <f t="shared" si="8"/>
        <v>9</v>
      </c>
    </row>
    <row r="59" spans="1:12" x14ac:dyDescent="0.2">
      <c r="B59" s="6" t="s">
        <v>18</v>
      </c>
      <c r="C59">
        <f>M26</f>
        <v>2</v>
      </c>
      <c r="D59">
        <f>M27</f>
        <v>4</v>
      </c>
      <c r="E59">
        <f>M28</f>
        <v>6</v>
      </c>
      <c r="F59">
        <f>M29</f>
        <v>4</v>
      </c>
      <c r="G59">
        <f>M30</f>
        <v>13</v>
      </c>
      <c r="H59">
        <f>M31</f>
        <v>16</v>
      </c>
      <c r="I59">
        <f>M32</f>
        <v>9</v>
      </c>
      <c r="J59">
        <f>M33</f>
        <v>9</v>
      </c>
      <c r="K59">
        <f>M34</f>
        <v>5</v>
      </c>
    </row>
    <row r="60" spans="1:12" x14ac:dyDescent="0.2">
      <c r="B60" s="6" t="s">
        <v>19</v>
      </c>
      <c r="C60" s="6">
        <v>0</v>
      </c>
      <c r="D60" s="7">
        <f t="shared" ref="D60:K60" si="9">D62+D63*(D58+1)/(D59+1)</f>
        <v>2.8</v>
      </c>
      <c r="E60" s="7">
        <f t="shared" si="9"/>
        <v>5</v>
      </c>
      <c r="F60" s="7">
        <f t="shared" si="9"/>
        <v>10.4</v>
      </c>
      <c r="G60" s="7">
        <f t="shared" si="9"/>
        <v>11.857142857142858</v>
      </c>
      <c r="H60" s="7">
        <f t="shared" si="9"/>
        <v>17.117647058823529</v>
      </c>
      <c r="I60" s="7">
        <f t="shared" si="9"/>
        <v>19.8</v>
      </c>
      <c r="J60" s="7">
        <f t="shared" si="9"/>
        <v>16.2</v>
      </c>
      <c r="K60" s="7">
        <f t="shared" si="9"/>
        <v>15</v>
      </c>
      <c r="L60" s="7" t="s">
        <v>37</v>
      </c>
    </row>
    <row r="61" spans="1:12" x14ac:dyDescent="0.2">
      <c r="B61" s="6" t="s">
        <v>20</v>
      </c>
      <c r="C61" s="6">
        <v>0</v>
      </c>
      <c r="D61" s="7">
        <f t="shared" ref="D61:K61" si="10">D62+D63*D58/D59</f>
        <v>3</v>
      </c>
      <c r="E61" s="7">
        <f t="shared" si="10"/>
        <v>5</v>
      </c>
      <c r="F61" s="7">
        <f t="shared" si="10"/>
        <v>10.75</v>
      </c>
      <c r="G61" s="7">
        <f t="shared" si="10"/>
        <v>11.923076923076923</v>
      </c>
      <c r="H61" s="7">
        <f t="shared" si="10"/>
        <v>17.125</v>
      </c>
      <c r="I61" s="7">
        <f t="shared" si="10"/>
        <v>20</v>
      </c>
      <c r="J61" s="7">
        <f t="shared" si="10"/>
        <v>16.333333333333332</v>
      </c>
      <c r="K61" s="7">
        <f t="shared" si="10"/>
        <v>15.4</v>
      </c>
      <c r="L61" s="7" t="s">
        <v>37</v>
      </c>
    </row>
    <row r="62" spans="1:12" x14ac:dyDescent="0.2">
      <c r="B62" s="6" t="s">
        <v>21</v>
      </c>
      <c r="C62">
        <v>0</v>
      </c>
      <c r="D62">
        <f t="shared" ref="D62:L62" si="11">D35</f>
        <v>1</v>
      </c>
      <c r="E62">
        <f t="shared" si="11"/>
        <v>2</v>
      </c>
      <c r="F62">
        <f t="shared" si="11"/>
        <v>2</v>
      </c>
      <c r="G62">
        <f t="shared" si="11"/>
        <v>7</v>
      </c>
      <c r="H62">
        <f t="shared" si="11"/>
        <v>15</v>
      </c>
      <c r="I62">
        <f t="shared" si="11"/>
        <v>12</v>
      </c>
      <c r="J62">
        <f t="shared" si="11"/>
        <v>11</v>
      </c>
      <c r="K62">
        <f t="shared" si="11"/>
        <v>10</v>
      </c>
      <c r="L62">
        <f t="shared" si="11"/>
        <v>8</v>
      </c>
    </row>
    <row r="63" spans="1:12" x14ac:dyDescent="0.2">
      <c r="B63" s="6" t="s">
        <v>22</v>
      </c>
      <c r="C63">
        <v>0</v>
      </c>
      <c r="D63">
        <f>M40</f>
        <v>1</v>
      </c>
      <c r="E63">
        <f>M41</f>
        <v>3</v>
      </c>
      <c r="F63">
        <f>M42</f>
        <v>7</v>
      </c>
      <c r="G63">
        <f>M43</f>
        <v>4</v>
      </c>
      <c r="H63">
        <f>M44</f>
        <v>2</v>
      </c>
      <c r="I63">
        <f>M45</f>
        <v>6</v>
      </c>
      <c r="J63">
        <f>M46</f>
        <v>4</v>
      </c>
      <c r="K63">
        <f>M47</f>
        <v>3</v>
      </c>
      <c r="L63">
        <f>M48</f>
        <v>0</v>
      </c>
    </row>
    <row r="64" spans="1:12" x14ac:dyDescent="0.2">
      <c r="B64" s="6" t="s">
        <v>34</v>
      </c>
      <c r="C64" s="8" t="s">
        <v>0</v>
      </c>
      <c r="D64" s="8">
        <f t="shared" ref="D64:K64" si="12">(D57+1)*D60/(D62+1)</f>
        <v>12.6</v>
      </c>
      <c r="E64" s="8">
        <f t="shared" si="12"/>
        <v>11.666666666666666</v>
      </c>
      <c r="F64" s="8">
        <f t="shared" si="12"/>
        <v>20.8</v>
      </c>
      <c r="G64" s="8">
        <f t="shared" si="12"/>
        <v>25.196428571428573</v>
      </c>
      <c r="H64" s="8">
        <f t="shared" si="12"/>
        <v>19.257352941176471</v>
      </c>
      <c r="I64" s="8">
        <f t="shared" si="12"/>
        <v>19.800000000000004</v>
      </c>
      <c r="J64" s="8">
        <f t="shared" si="12"/>
        <v>17.55</v>
      </c>
      <c r="K64" s="8">
        <f t="shared" si="12"/>
        <v>13.636363636363637</v>
      </c>
      <c r="L64" s="8" t="s">
        <v>37</v>
      </c>
    </row>
    <row r="65" spans="2:12" x14ac:dyDescent="0.2">
      <c r="B65" s="6" t="s">
        <v>35</v>
      </c>
      <c r="C65" s="7" t="s">
        <v>0</v>
      </c>
      <c r="D65" s="7">
        <f t="shared" ref="D65:K65" si="13">D57*D61/D62</f>
        <v>24</v>
      </c>
      <c r="E65" s="7">
        <f t="shared" si="13"/>
        <v>15</v>
      </c>
      <c r="F65" s="7">
        <f t="shared" si="13"/>
        <v>26.875</v>
      </c>
      <c r="G65" s="7">
        <f t="shared" si="13"/>
        <v>27.252747252747252</v>
      </c>
      <c r="H65" s="7">
        <f t="shared" si="13"/>
        <v>19.408333333333335</v>
      </c>
      <c r="I65" s="7">
        <f t="shared" si="13"/>
        <v>20</v>
      </c>
      <c r="J65" s="7">
        <f t="shared" si="13"/>
        <v>17.818181818181817</v>
      </c>
      <c r="K65" s="7">
        <f t="shared" si="13"/>
        <v>13.86</v>
      </c>
      <c r="L65" s="8" t="s">
        <v>37</v>
      </c>
    </row>
    <row r="66" spans="2:12" x14ac:dyDescent="0.2">
      <c r="B66" s="6" t="s">
        <v>73</v>
      </c>
      <c r="C66" s="7" t="s">
        <v>0</v>
      </c>
      <c r="D66" s="7">
        <f t="shared" ref="D66:K66" si="14">D64*(D64-D57)*((D60-D62+D58)/D60*(1/D59-1/D58)+(D64-D60)/D64/D62)</f>
        <v>70.4375</v>
      </c>
      <c r="E66" s="7">
        <f t="shared" si="14"/>
        <v>18.888888888888886</v>
      </c>
      <c r="F66" s="7">
        <f t="shared" si="14"/>
        <v>103.33200000000001</v>
      </c>
      <c r="G66" s="7">
        <f t="shared" si="14"/>
        <v>23.403656491786283</v>
      </c>
      <c r="H66" s="7">
        <f t="shared" si="14"/>
        <v>0.50049625197180969</v>
      </c>
      <c r="I66" s="7">
        <f t="shared" si="14"/>
        <v>4.2900000000000054</v>
      </c>
      <c r="J66" s="7">
        <f t="shared" si="14"/>
        <v>3.5537752525252539</v>
      </c>
      <c r="K66" s="7">
        <f t="shared" si="14"/>
        <v>4.6129476584022049</v>
      </c>
      <c r="L66" s="8" t="s">
        <v>37</v>
      </c>
    </row>
    <row r="67" spans="2:12" x14ac:dyDescent="0.2">
      <c r="B67" s="6" t="s">
        <v>36</v>
      </c>
      <c r="C67" s="7" t="s">
        <v>0</v>
      </c>
      <c r="D67" s="7">
        <f>D65*(D65-D57)*(((D61-D62+D58)/D61)*(1/D59-1/D58)+(D65-D61)/(D65*D62))</f>
        <v>496</v>
      </c>
      <c r="E67" s="7">
        <f t="shared" ref="E67:K67" si="15">E65*(E65-E57)*((E61-E62+E58)/E61*(1/E59-1/E58)+(E65-E61)/E65/E62)</f>
        <v>45</v>
      </c>
      <c r="F67" s="7">
        <f t="shared" si="15"/>
        <v>213.96484375</v>
      </c>
      <c r="G67" s="7">
        <f t="shared" si="15"/>
        <v>32.404813879515004</v>
      </c>
      <c r="H67" s="7">
        <f t="shared" si="15"/>
        <v>0.55851591435185255</v>
      </c>
      <c r="I67" s="7">
        <f t="shared" si="15"/>
        <v>4.4444444444444446</v>
      </c>
      <c r="J67" s="7">
        <f t="shared" si="15"/>
        <v>3.8413890975874434</v>
      </c>
      <c r="K67" s="7">
        <f t="shared" si="15"/>
        <v>4.8502799999999997</v>
      </c>
      <c r="L67" s="8" t="s">
        <v>37</v>
      </c>
    </row>
    <row r="68" spans="2:12" x14ac:dyDescent="0.2">
      <c r="B68" s="6" t="s">
        <v>60</v>
      </c>
      <c r="C68" s="7" t="s">
        <v>0</v>
      </c>
      <c r="D68" s="7">
        <f t="shared" ref="D68:K69" si="16">SQRT(D66)</f>
        <v>8.3927051657972598</v>
      </c>
      <c r="E68" s="7">
        <f t="shared" si="16"/>
        <v>4.3461349368017652</v>
      </c>
      <c r="F68" s="7">
        <f t="shared" si="16"/>
        <v>10.165234871856136</v>
      </c>
      <c r="G68" s="7">
        <f t="shared" si="16"/>
        <v>4.8377325775394286</v>
      </c>
      <c r="H68" s="7">
        <f t="shared" si="16"/>
        <v>0.70745759729598612</v>
      </c>
      <c r="I68" s="7">
        <f t="shared" si="16"/>
        <v>2.0712315177207992</v>
      </c>
      <c r="J68" s="7">
        <f t="shared" si="16"/>
        <v>1.8851459499267567</v>
      </c>
      <c r="K68" s="7">
        <f t="shared" si="16"/>
        <v>2.1477773763596182</v>
      </c>
      <c r="L68" s="8" t="s">
        <v>37</v>
      </c>
    </row>
    <row r="69" spans="2:12" x14ac:dyDescent="0.2">
      <c r="B69" s="6" t="s">
        <v>61</v>
      </c>
      <c r="C69" s="7" t="s">
        <v>0</v>
      </c>
      <c r="D69" s="7">
        <f t="shared" si="16"/>
        <v>22.271057451320086</v>
      </c>
      <c r="E69" s="7">
        <f t="shared" si="16"/>
        <v>6.7082039324993694</v>
      </c>
      <c r="F69" s="7">
        <f t="shared" si="16"/>
        <v>14.627537173085564</v>
      </c>
      <c r="G69" s="7">
        <f t="shared" si="16"/>
        <v>5.6925226288100959</v>
      </c>
      <c r="H69" s="7">
        <f t="shared" si="16"/>
        <v>0.74733922307868506</v>
      </c>
      <c r="I69" s="7">
        <f t="shared" si="16"/>
        <v>2.1081851067789197</v>
      </c>
      <c r="J69" s="7">
        <f t="shared" si="16"/>
        <v>1.9599461976257011</v>
      </c>
      <c r="K69" s="7">
        <f t="shared" si="16"/>
        <v>2.202335124362321</v>
      </c>
      <c r="L69" s="8" t="s">
        <v>37</v>
      </c>
    </row>
    <row r="70" spans="2:12" x14ac:dyDescent="0.2">
      <c r="B70" s="6" t="s">
        <v>24</v>
      </c>
      <c r="C70" s="7" t="s">
        <v>0</v>
      </c>
      <c r="D70" s="7">
        <f t="shared" ref="D70:K70" si="17">D64-1.64*D68</f>
        <v>-1.1640364719075063</v>
      </c>
      <c r="E70" s="7">
        <f t="shared" si="17"/>
        <v>4.5390053703117719</v>
      </c>
      <c r="F70" s="7">
        <f t="shared" si="17"/>
        <v>4.1290148101559403</v>
      </c>
      <c r="G70" s="7">
        <f t="shared" si="17"/>
        <v>17.262547144263912</v>
      </c>
      <c r="H70" s="7">
        <f t="shared" si="17"/>
        <v>18.097122481611052</v>
      </c>
      <c r="I70" s="7">
        <f t="shared" si="17"/>
        <v>16.403180310937895</v>
      </c>
      <c r="J70" s="7">
        <f t="shared" si="17"/>
        <v>14.45836064212012</v>
      </c>
      <c r="K70" s="7">
        <f t="shared" si="17"/>
        <v>10.114008739133864</v>
      </c>
      <c r="L70" s="8" t="s">
        <v>37</v>
      </c>
    </row>
    <row r="71" spans="2:12" x14ac:dyDescent="0.2">
      <c r="B71" s="6" t="s">
        <v>23</v>
      </c>
      <c r="C71" s="7" t="s">
        <v>0</v>
      </c>
      <c r="D71" s="7">
        <f t="shared" ref="D71:K71" si="18">D64+1.64*D68</f>
        <v>26.364036471907504</v>
      </c>
      <c r="E71" s="7">
        <f t="shared" si="18"/>
        <v>18.794327963021559</v>
      </c>
      <c r="F71" s="7">
        <f t="shared" si="18"/>
        <v>37.470985189844058</v>
      </c>
      <c r="G71" s="7">
        <f t="shared" si="18"/>
        <v>33.130309998593233</v>
      </c>
      <c r="H71" s="7">
        <f t="shared" si="18"/>
        <v>20.41758340074189</v>
      </c>
      <c r="I71" s="7">
        <f t="shared" si="18"/>
        <v>23.196819689062114</v>
      </c>
      <c r="J71" s="7">
        <f t="shared" si="18"/>
        <v>20.641639357879882</v>
      </c>
      <c r="K71" s="7">
        <f t="shared" si="18"/>
        <v>17.158718533593412</v>
      </c>
      <c r="L71" s="8" t="s">
        <v>37</v>
      </c>
    </row>
    <row r="72" spans="2:12" x14ac:dyDescent="0.2">
      <c r="B72" s="6" t="s">
        <v>25</v>
      </c>
      <c r="C72" s="7" t="s">
        <v>0</v>
      </c>
      <c r="D72" s="7">
        <f>D65-1.64*D69</f>
        <v>-12.524534220164938</v>
      </c>
      <c r="E72" s="7">
        <f t="shared" ref="E72:K72" si="19">E65-1.64*E69</f>
        <v>3.998545550701035</v>
      </c>
      <c r="F72" s="7">
        <f t="shared" si="19"/>
        <v>2.8858390361396751</v>
      </c>
      <c r="G72" s="7">
        <f t="shared" si="19"/>
        <v>17.917010141498693</v>
      </c>
      <c r="H72" s="7">
        <f t="shared" si="19"/>
        <v>18.182697007484293</v>
      </c>
      <c r="I72" s="7">
        <f t="shared" si="19"/>
        <v>16.542576424882572</v>
      </c>
      <c r="J72" s="7">
        <f t="shared" si="19"/>
        <v>14.603870054075667</v>
      </c>
      <c r="K72" s="7">
        <f t="shared" si="19"/>
        <v>10.248170396045793</v>
      </c>
      <c r="L72" s="8" t="s">
        <v>37</v>
      </c>
    </row>
    <row r="73" spans="2:12" x14ac:dyDescent="0.2">
      <c r="B73" s="6" t="s">
        <v>26</v>
      </c>
      <c r="C73" s="7" t="s">
        <v>0</v>
      </c>
      <c r="D73" s="7">
        <f>D65+1.64*D69</f>
        <v>60.524534220164938</v>
      </c>
      <c r="E73" s="7">
        <f t="shared" ref="E73:K73" si="20">E65+1.64*E69</f>
        <v>26.001454449298965</v>
      </c>
      <c r="F73" s="7">
        <f t="shared" si="20"/>
        <v>50.864160963860328</v>
      </c>
      <c r="G73" s="7">
        <f t="shared" si="20"/>
        <v>36.588484363995811</v>
      </c>
      <c r="H73" s="7">
        <f t="shared" si="20"/>
        <v>20.633969659182377</v>
      </c>
      <c r="I73" s="7">
        <f t="shared" si="20"/>
        <v>23.457423575117428</v>
      </c>
      <c r="J73" s="7">
        <f t="shared" si="20"/>
        <v>21.032493582287966</v>
      </c>
      <c r="K73" s="7">
        <f t="shared" si="20"/>
        <v>17.471829603954205</v>
      </c>
      <c r="L73" s="8" t="s">
        <v>37</v>
      </c>
    </row>
    <row r="74" spans="2:12" x14ac:dyDescent="0.2">
      <c r="B74" s="11" t="s">
        <v>28</v>
      </c>
      <c r="C74" s="7" t="s">
        <v>0</v>
      </c>
      <c r="D74" s="9">
        <f>D62/D60</f>
        <v>0.35714285714285715</v>
      </c>
      <c r="E74" s="9">
        <f t="shared" ref="E74:K74" si="21">E62/E60</f>
        <v>0.4</v>
      </c>
      <c r="F74" s="9">
        <f t="shared" si="21"/>
        <v>0.19230769230769229</v>
      </c>
      <c r="G74" s="9">
        <f t="shared" si="21"/>
        <v>0.59036144578313254</v>
      </c>
      <c r="H74" s="9">
        <f t="shared" si="21"/>
        <v>0.87628865979381443</v>
      </c>
      <c r="I74" s="9">
        <f t="shared" si="21"/>
        <v>0.60606060606060608</v>
      </c>
      <c r="J74" s="9">
        <f t="shared" si="21"/>
        <v>0.67901234567901236</v>
      </c>
      <c r="K74" s="9">
        <f t="shared" si="21"/>
        <v>0.66666666666666663</v>
      </c>
      <c r="L74" s="8" t="s">
        <v>37</v>
      </c>
    </row>
    <row r="75" spans="2:12" x14ac:dyDescent="0.2">
      <c r="B75" s="11" t="s">
        <v>29</v>
      </c>
      <c r="C75" s="7" t="s">
        <v>0</v>
      </c>
      <c r="D75" s="9">
        <f>D62/D61</f>
        <v>0.33333333333333331</v>
      </c>
      <c r="E75" s="9">
        <f t="shared" ref="E75:K75" si="22">E62/E61</f>
        <v>0.4</v>
      </c>
      <c r="F75" s="9">
        <f t="shared" si="22"/>
        <v>0.18604651162790697</v>
      </c>
      <c r="G75" s="9">
        <f t="shared" si="22"/>
        <v>0.58709677419354833</v>
      </c>
      <c r="H75" s="9">
        <f t="shared" si="22"/>
        <v>0.87591240875912413</v>
      </c>
      <c r="I75" s="9">
        <f t="shared" si="22"/>
        <v>0.6</v>
      </c>
      <c r="J75" s="9">
        <f t="shared" si="22"/>
        <v>0.67346938775510212</v>
      </c>
      <c r="K75" s="9">
        <f t="shared" si="22"/>
        <v>0.64935064935064934</v>
      </c>
      <c r="L75" s="8" t="s">
        <v>37</v>
      </c>
    </row>
    <row r="76" spans="2:12" x14ac:dyDescent="0.2">
      <c r="B76" s="11" t="s">
        <v>30</v>
      </c>
      <c r="C76" s="7"/>
      <c r="D76" s="9">
        <f>D74^2*(1-D74)^2*(1/D59-1/D58+1/D62+1/D63)</f>
        <v>0.11201387442732193</v>
      </c>
      <c r="E76" s="9">
        <f t="shared" ref="E76:K76" si="23">E74^2*(1-E74)^2*(1/E59-1/E58+1/E62+1/E63)</f>
        <v>4.8000000000000008E-2</v>
      </c>
      <c r="F76" s="9">
        <f t="shared" si="23"/>
        <v>1.6715866916424495E-2</v>
      </c>
      <c r="G76" s="9">
        <f t="shared" si="23"/>
        <v>2.3819406878981406E-2</v>
      </c>
      <c r="H76" s="9">
        <f t="shared" si="23"/>
        <v>6.7026976080377292E-3</v>
      </c>
      <c r="I76" s="9">
        <f t="shared" si="23"/>
        <v>1.5833919609972148E-2</v>
      </c>
      <c r="J76" s="9">
        <f t="shared" si="23"/>
        <v>1.7514174372951139E-2</v>
      </c>
      <c r="K76" s="9">
        <f t="shared" si="23"/>
        <v>2.5788751714677646E-2</v>
      </c>
      <c r="L76" s="8" t="s">
        <v>37</v>
      </c>
    </row>
    <row r="77" spans="2:12" x14ac:dyDescent="0.2">
      <c r="B77" s="6" t="s">
        <v>62</v>
      </c>
      <c r="C77" s="7" t="s">
        <v>0</v>
      </c>
      <c r="D77" s="9">
        <f>SQRT(D76)</f>
        <v>0.334684738862294</v>
      </c>
      <c r="E77" s="9">
        <f t="shared" ref="E77:K77" si="24">SQRT(E76)</f>
        <v>0.21908902300206645</v>
      </c>
      <c r="F77" s="9">
        <f t="shared" si="24"/>
        <v>0.12928985620080369</v>
      </c>
      <c r="G77" s="9">
        <f t="shared" si="24"/>
        <v>0.15433537144472556</v>
      </c>
      <c r="H77" s="9">
        <f t="shared" si="24"/>
        <v>8.1870004324158488E-2</v>
      </c>
      <c r="I77" s="9">
        <f t="shared" si="24"/>
        <v>0.12583290352674911</v>
      </c>
      <c r="J77" s="9">
        <f t="shared" si="24"/>
        <v>0.13234112880337368</v>
      </c>
      <c r="K77" s="9">
        <f t="shared" si="24"/>
        <v>0.16058876584206519</v>
      </c>
      <c r="L77" s="8" t="s">
        <v>37</v>
      </c>
    </row>
    <row r="78" spans="2:12" x14ac:dyDescent="0.2">
      <c r="B78" s="11" t="s">
        <v>31</v>
      </c>
      <c r="C78" s="7" t="s">
        <v>0</v>
      </c>
      <c r="D78" s="9">
        <f>D75^2*(1-D75)^2*(1/D59-1/D58+1/D62+1/D63)</f>
        <v>0.10493827160493828</v>
      </c>
      <c r="E78" s="9">
        <f t="shared" ref="E78:K78" si="25">E75^2*(1-E75)^2*(1/E59-1/E58+1/E62+1/E63)</f>
        <v>4.8000000000000008E-2</v>
      </c>
      <c r="F78" s="9">
        <f t="shared" si="25"/>
        <v>1.5888611241192452E-2</v>
      </c>
      <c r="G78" s="9">
        <f t="shared" si="25"/>
        <v>2.3933667777993137E-2</v>
      </c>
      <c r="H78" s="9">
        <f t="shared" si="25"/>
        <v>6.7377405937850948E-3</v>
      </c>
      <c r="I78" s="9">
        <f t="shared" si="25"/>
        <v>1.6000000000000004E-2</v>
      </c>
      <c r="J78" s="9">
        <f t="shared" si="25"/>
        <v>1.7829583362894915E-2</v>
      </c>
      <c r="K78" s="9">
        <f t="shared" si="25"/>
        <v>2.7074471309608751E-2</v>
      </c>
      <c r="L78" s="8" t="s">
        <v>37</v>
      </c>
    </row>
    <row r="79" spans="2:12" x14ac:dyDescent="0.2">
      <c r="B79" s="6" t="s">
        <v>63</v>
      </c>
      <c r="C79" s="7" t="s">
        <v>0</v>
      </c>
      <c r="D79" s="9">
        <f>SQRT(D78)</f>
        <v>0.32394177193585005</v>
      </c>
      <c r="E79" s="9">
        <f t="shared" ref="E79:K79" si="26">SQRT(E78)</f>
        <v>0.21908902300206645</v>
      </c>
      <c r="F79" s="9">
        <f t="shared" si="26"/>
        <v>0.12605003467350753</v>
      </c>
      <c r="G79" s="9">
        <f t="shared" si="26"/>
        <v>0.15470509939233787</v>
      </c>
      <c r="H79" s="9">
        <f t="shared" si="26"/>
        <v>8.2083741348607492E-2</v>
      </c>
      <c r="I79" s="9">
        <f t="shared" si="26"/>
        <v>0.12649110640673519</v>
      </c>
      <c r="J79" s="9">
        <f t="shared" si="26"/>
        <v>0.13352746295386173</v>
      </c>
      <c r="K79" s="9">
        <f t="shared" si="26"/>
        <v>0.16454322018730747</v>
      </c>
      <c r="L79" s="8" t="s">
        <v>37</v>
      </c>
    </row>
    <row r="80" spans="2:12" x14ac:dyDescent="0.2">
      <c r="B80" s="10" t="s">
        <v>32</v>
      </c>
      <c r="C80" s="9">
        <f>D61/(C61-C62+C58)</f>
        <v>1</v>
      </c>
      <c r="D80" s="9">
        <f t="shared" ref="D80:J80" si="27">E61/(D61-D62+D58)</f>
        <v>0.5</v>
      </c>
      <c r="E80" s="9">
        <f t="shared" si="27"/>
        <v>1.1944444444444444</v>
      </c>
      <c r="F80" s="9">
        <f t="shared" si="27"/>
        <v>0.86713286713286719</v>
      </c>
      <c r="G80" s="9">
        <f t="shared" si="27"/>
        <v>0.81847426470588236</v>
      </c>
      <c r="H80" s="9">
        <f t="shared" si="27"/>
        <v>1.0457516339869282</v>
      </c>
      <c r="I80" s="9">
        <f t="shared" si="27"/>
        <v>0.81666666666666665</v>
      </c>
      <c r="J80" s="9">
        <f t="shared" si="27"/>
        <v>0.88846153846153852</v>
      </c>
      <c r="K80" s="9" t="s">
        <v>37</v>
      </c>
      <c r="L80" s="9" t="s">
        <v>37</v>
      </c>
    </row>
    <row r="81" spans="1:12" x14ac:dyDescent="0.2">
      <c r="B81" s="10" t="s">
        <v>27</v>
      </c>
      <c r="C81" s="9">
        <f t="shared" ref="C81:J81" si="28">D60/(C60-C62+C58)</f>
        <v>0.93333333333333324</v>
      </c>
      <c r="D81" s="9">
        <f t="shared" si="28"/>
        <v>0.51020408163265307</v>
      </c>
      <c r="E81" s="9">
        <f t="shared" si="28"/>
        <v>1.1555555555555557</v>
      </c>
      <c r="F81" s="9">
        <f t="shared" si="28"/>
        <v>0.88486140724946694</v>
      </c>
      <c r="G81" s="9">
        <f t="shared" si="28"/>
        <v>0.82070910556003218</v>
      </c>
      <c r="H81" s="9">
        <f t="shared" si="28"/>
        <v>1.0356923076923077</v>
      </c>
      <c r="I81" s="9">
        <f t="shared" si="28"/>
        <v>0.81818181818181812</v>
      </c>
      <c r="J81" s="9">
        <f t="shared" si="28"/>
        <v>0.87209302325581395</v>
      </c>
      <c r="K81" s="9" t="s">
        <v>37</v>
      </c>
      <c r="L81" s="9" t="s">
        <v>37</v>
      </c>
    </row>
    <row r="82" spans="1:12" x14ac:dyDescent="0.2">
      <c r="B82" s="6" t="s">
        <v>64</v>
      </c>
      <c r="C82" s="9">
        <f>C80^2*((D61-D62)*(D61-D62+D58)/D61^2*(1/D59-1/D58)+(C61-C62)/(C61-C62+C58)*(1/C59-1/C58))+C80*(1-C80)/(C61-C62+C58)</f>
        <v>0.27777777777777779</v>
      </c>
      <c r="D82" s="9">
        <f t="shared" ref="D82:J84" si="29">D80^2*((E61-E62)*(E61-E62+E58)/E61^2*(1/E59-1/E58)+(D61-D62)/(D61-D62+D58)*(1/D59-1/D58))+D80*(1-D80)/(D61-D62+D58)</f>
        <v>3.125E-2</v>
      </c>
      <c r="E82" s="9">
        <f t="shared" si="29"/>
        <v>4.8461076817558284E-2</v>
      </c>
      <c r="F82" s="9">
        <f t="shared" si="29"/>
        <v>4.0161917401880229E-2</v>
      </c>
      <c r="G82" s="9">
        <f t="shared" si="29"/>
        <v>9.7156899683397378E-3</v>
      </c>
      <c r="H82" s="9">
        <f t="shared" si="29"/>
        <v>1.0096111293991445E-2</v>
      </c>
      <c r="I82" s="9">
        <f t="shared" si="29"/>
        <v>2.1316358024691357E-2</v>
      </c>
      <c r="J82" s="9">
        <f t="shared" si="29"/>
        <v>3.5469788347746931E-2</v>
      </c>
      <c r="K82" s="9" t="s">
        <v>37</v>
      </c>
      <c r="L82" s="9" t="s">
        <v>37</v>
      </c>
    </row>
    <row r="83" spans="1:12" x14ac:dyDescent="0.2">
      <c r="B83" s="6" t="s">
        <v>65</v>
      </c>
      <c r="C83" s="9">
        <f>SQRT(C82)</f>
        <v>0.52704627669472992</v>
      </c>
      <c r="D83" s="9">
        <f t="shared" ref="D83:J83" si="30">SQRT(D82)</f>
        <v>0.17677669529663689</v>
      </c>
      <c r="E83" s="9">
        <f t="shared" si="30"/>
        <v>0.22013876718460626</v>
      </c>
      <c r="F83" s="9">
        <f t="shared" si="30"/>
        <v>0.20040438468726235</v>
      </c>
      <c r="G83" s="9">
        <f t="shared" si="30"/>
        <v>9.8568199579477656E-2</v>
      </c>
      <c r="H83" s="9">
        <f t="shared" si="30"/>
        <v>0.10047940731309797</v>
      </c>
      <c r="I83" s="9">
        <f t="shared" si="30"/>
        <v>0.1460012261068083</v>
      </c>
      <c r="J83" s="9">
        <f t="shared" si="30"/>
        <v>0.18833424634873747</v>
      </c>
      <c r="K83" s="9" t="s">
        <v>37</v>
      </c>
      <c r="L83" s="9" t="s">
        <v>37</v>
      </c>
    </row>
    <row r="84" spans="1:12" x14ac:dyDescent="0.2">
      <c r="B84" s="6" t="s">
        <v>33</v>
      </c>
      <c r="C84" s="9">
        <f>C80^2*((D61-D62)*(D61-D62+D58)/D61^2*(1/D59-1/D58)+(C61-C62)/(C61-C62+C58)*(1/C59-1/C58))</f>
        <v>0.27777777777777779</v>
      </c>
      <c r="D84" s="9">
        <f t="shared" si="29"/>
        <v>-3.470813041125541E-3</v>
      </c>
      <c r="E84" s="9">
        <f t="shared" si="29"/>
        <v>-1.2583203894864486E-2</v>
      </c>
      <c r="F84" s="9">
        <f t="shared" si="29"/>
        <v>-1.1367725591898047E-2</v>
      </c>
      <c r="G84" s="9">
        <f t="shared" si="29"/>
        <v>-1.0302974027638211E-3</v>
      </c>
      <c r="H84" s="9">
        <f t="shared" si="29"/>
        <v>-7.1537484634795576E-2</v>
      </c>
      <c r="I84" s="9">
        <f t="shared" si="29"/>
        <v>3.4780368287156672E-3</v>
      </c>
      <c r="J84" s="9">
        <f t="shared" si="29"/>
        <v>1.2924545230542291E-2</v>
      </c>
      <c r="K84" s="9" t="s">
        <v>37</v>
      </c>
      <c r="L84" s="9" t="s">
        <v>37</v>
      </c>
    </row>
    <row r="85" spans="1:12" x14ac:dyDescent="0.2">
      <c r="B85" s="6" t="s">
        <v>66</v>
      </c>
      <c r="C85" s="9">
        <f>SQRT(C84)</f>
        <v>0.52704627669472992</v>
      </c>
      <c r="D85" s="9">
        <f t="shared" ref="D85:J85" si="31">D81*SQRT((E60-E62)*(E60-E62+E58)/E60^2*(1/E59-1/E58)+(D60-D62)/(D60-D62+D58)*(1/D59-1/D58))</f>
        <v>7.7307592695322239E-2</v>
      </c>
      <c r="E85" s="9">
        <f t="shared" si="31"/>
        <v>0.26359340181704372</v>
      </c>
      <c r="F85" s="9">
        <f t="shared" si="31"/>
        <v>0.180772022718759</v>
      </c>
      <c r="G85" s="9">
        <f t="shared" si="31"/>
        <v>5.1034385018327154E-2</v>
      </c>
      <c r="H85" s="9">
        <f t="shared" si="31"/>
        <v>0.11033891167730447</v>
      </c>
      <c r="I85" s="9">
        <f t="shared" si="31"/>
        <v>0.1168868732331723</v>
      </c>
      <c r="J85" s="9">
        <f t="shared" si="31"/>
        <v>0.16558806152008612</v>
      </c>
      <c r="K85" s="9" t="s">
        <v>37</v>
      </c>
      <c r="L85" s="9" t="s">
        <v>37</v>
      </c>
    </row>
    <row r="86" spans="1:12" x14ac:dyDescent="0.2">
      <c r="B86" s="6" t="s">
        <v>48</v>
      </c>
      <c r="C86" s="8" t="s">
        <v>0</v>
      </c>
      <c r="D86" s="9">
        <f t="shared" ref="D86:J86" si="32">E65-D80*(D65-D57+D58)</f>
        <v>3</v>
      </c>
      <c r="E86" s="9">
        <f t="shared" si="32"/>
        <v>8.9583333333333321</v>
      </c>
      <c r="F86" s="9">
        <f t="shared" si="32"/>
        <v>3.948551448551445</v>
      </c>
      <c r="G86" s="9">
        <f t="shared" si="32"/>
        <v>-2.8973389355742292</v>
      </c>
      <c r="H86" s="9">
        <f t="shared" si="32"/>
        <v>-0.29629629629629761</v>
      </c>
      <c r="I86" s="9">
        <f t="shared" si="32"/>
        <v>1.4848484848484844</v>
      </c>
      <c r="J86" s="9">
        <f t="shared" si="32"/>
        <v>-1.9707692307692302</v>
      </c>
      <c r="K86" s="9" t="s">
        <v>37</v>
      </c>
      <c r="L86" s="9" t="s">
        <v>37</v>
      </c>
    </row>
    <row r="87" spans="1:12" x14ac:dyDescent="0.2">
      <c r="B87" s="6" t="s">
        <v>68</v>
      </c>
      <c r="C87" s="8" t="s">
        <v>0</v>
      </c>
      <c r="D87" s="9">
        <f t="shared" ref="D87:J87" si="33">E64-D81*(D64-D57+D58)</f>
        <v>5.2380952380952372</v>
      </c>
      <c r="E87" s="9">
        <f t="shared" si="33"/>
        <v>7.318518518518518</v>
      </c>
      <c r="F87" s="9">
        <f t="shared" si="33"/>
        <v>6.7913113006396593</v>
      </c>
      <c r="G87" s="9">
        <f t="shared" si="33"/>
        <v>-1.4215854149879128</v>
      </c>
      <c r="H87" s="9">
        <f t="shared" si="33"/>
        <v>-0.14469230769230279</v>
      </c>
      <c r="I87" s="9">
        <f t="shared" si="33"/>
        <v>1.3499999999999979</v>
      </c>
      <c r="J87" s="9">
        <f t="shared" si="33"/>
        <v>-1.6688689217758981</v>
      </c>
      <c r="K87" s="9" t="s">
        <v>37</v>
      </c>
      <c r="L87" s="9" t="s">
        <v>37</v>
      </c>
    </row>
    <row r="88" spans="1:12" x14ac:dyDescent="0.2">
      <c r="B88" s="6" t="s">
        <v>67</v>
      </c>
      <c r="C88" s="8" t="s">
        <v>0</v>
      </c>
      <c r="D88" s="9">
        <f t="shared" ref="D88:J88" si="34">D86^2*(E61-E62)*(E61-E62+E58)/E61^2*(1/E59-1/E58)+(D61-D62)/(D61-D62+D58)*(D80*D58*(D65-D61))^2/D61^2*(1/D59-1/D58)+(D65-D57)*(E65-D86)*(D65-D61)*(1-D80)/D65/(D61-D62+D58)+(E65-E57)*(E65-E61)/E62+D80^2*(D65-D57)*(D65-D61)/D62</f>
        <v>157</v>
      </c>
      <c r="E88" s="9">
        <f t="shared" si="34"/>
        <v>242.42356288580245</v>
      </c>
      <c r="F88" s="9">
        <f t="shared" si="34"/>
        <v>161.72121751719962</v>
      </c>
      <c r="G88" s="9">
        <f t="shared" si="34"/>
        <v>19.066215028468271</v>
      </c>
      <c r="H88" s="9">
        <f t="shared" si="34"/>
        <v>0.39042828837067578</v>
      </c>
      <c r="I88" s="9">
        <f t="shared" si="34"/>
        <v>0.80659672946174277</v>
      </c>
      <c r="J88" s="9">
        <f t="shared" si="34"/>
        <v>4.21233746995332E-2</v>
      </c>
      <c r="K88" s="9" t="s">
        <v>37</v>
      </c>
      <c r="L88" s="9" t="s">
        <v>37</v>
      </c>
    </row>
    <row r="89" spans="1:12" x14ac:dyDescent="0.2">
      <c r="B89" s="6" t="s">
        <v>44</v>
      </c>
      <c r="C89" s="8"/>
      <c r="D89" s="9">
        <f>D87^2*(E60-E62)*(E60-E62+E58)/E60^2*(1/E59-1/E58)+(D60-D62)/(D60-D62+D58)*(D81*D58*(D64-D60))^2/D60^2*(1/D59-1/D58)+(D64-D57)*(E64-D87)*(D64-D60)*(1-D81)/D64/(D60-D62+D58)+(E64-E57)*(E64-E60)/E62+D81^2*(D64-D57)*(D64-D60)/D62</f>
        <v>36.458651487806009</v>
      </c>
      <c r="E89" s="9">
        <f t="shared" ref="E89:J89" si="35">E87^2*(F60-F62)*(F60-F62+F58)/F60^2*(1/F59-1/F58)+(E60-E62)/(E60-E62+E58)*(E81*E58*(E64-E60))^2/E60^2*(1/E59-1/E58)+(E64-E57)*(F64-E87)*(E64-E60)*(1-E81)/E64/(E60-E62+E58)+(F64-F57)*(F64-F60)/F62+E81^2*(E64-E57)*(E64-E60)/E62</f>
        <v>109.41495686633137</v>
      </c>
      <c r="F89" s="9">
        <f t="shared" si="35"/>
        <v>84.196648882081803</v>
      </c>
      <c r="G89" s="9">
        <f t="shared" si="35"/>
        <v>13.725574770668787</v>
      </c>
      <c r="H89" s="9">
        <f t="shared" si="35"/>
        <v>0.33826329342740347</v>
      </c>
      <c r="I89" s="9">
        <f t="shared" si="35"/>
        <v>0.69838945005611919</v>
      </c>
      <c r="J89" s="9">
        <f t="shared" si="35"/>
        <v>1.7802956656316926E-2</v>
      </c>
      <c r="K89" s="9"/>
      <c r="L89" s="9"/>
    </row>
    <row r="90" spans="1:12" x14ac:dyDescent="0.2">
      <c r="B90" s="6" t="s">
        <v>69</v>
      </c>
      <c r="C90" s="9" t="s">
        <v>37</v>
      </c>
      <c r="D90" s="9">
        <f t="shared" ref="D90:J90" si="36">SQRT(D88)</f>
        <v>12.529964086141668</v>
      </c>
      <c r="E90" s="9">
        <f t="shared" si="36"/>
        <v>15.569957061141897</v>
      </c>
      <c r="F90" s="9">
        <f t="shared" si="36"/>
        <v>12.716965735473208</v>
      </c>
      <c r="G90" s="9">
        <f t="shared" si="36"/>
        <v>4.3664877222394969</v>
      </c>
      <c r="H90" s="9">
        <f t="shared" si="36"/>
        <v>0.62484261087947246</v>
      </c>
      <c r="I90" s="9">
        <f t="shared" si="36"/>
        <v>0.89810730397973204</v>
      </c>
      <c r="J90" s="9">
        <f t="shared" si="36"/>
        <v>0.20523979804008091</v>
      </c>
      <c r="K90" s="9" t="s">
        <v>37</v>
      </c>
      <c r="L90" s="9" t="s">
        <v>37</v>
      </c>
    </row>
    <row r="91" spans="1:12" x14ac:dyDescent="0.2">
      <c r="B91" t="s">
        <v>38</v>
      </c>
      <c r="D91">
        <f>-E80*(E65-E57)*(E65-E61)/E65*(D86*E58/E61*(1/E59-1/E58)+E65/E62)</f>
        <v>-53.75</v>
      </c>
      <c r="E91">
        <f>-F80*(F65-F57)*(F65-F61)/F65*(E86*F58/F61*(1/F59-1/F58)+F65/F62)</f>
        <v>-155.30485139860144</v>
      </c>
      <c r="F91">
        <f t="shared" ref="F91:I91" si="37">-G80*(G65-G57)*(G65-G61)/G65*(F86*G58/G61*(1/G59-1/G58)+G65/G62)</f>
        <v>-20.565575780761847</v>
      </c>
      <c r="G91">
        <f t="shared" si="37"/>
        <v>-0.38024138050281903</v>
      </c>
      <c r="H91" s="12">
        <f t="shared" si="37"/>
        <v>0</v>
      </c>
      <c r="I91">
        <f t="shared" si="37"/>
        <v>-0.71082856537401951</v>
      </c>
    </row>
    <row r="92" spans="1:12" x14ac:dyDescent="0.2">
      <c r="B92" t="s">
        <v>41</v>
      </c>
      <c r="D92">
        <f>-E81*(E64-E57)*(E64-E60)/E64*(D87*E58/E60*(1/E59-1/E58)+E64/E62)</f>
        <v>-21.827160493827158</v>
      </c>
      <c r="E92">
        <f t="shared" ref="E92:I92" si="38">-F81*(F64-F57)*(F64-F60)/F64*(E87*F58/F60*(1/F59-1/F58)+F64/F62)</f>
        <v>-73.930006712469407</v>
      </c>
      <c r="F92">
        <f t="shared" si="38"/>
        <v>-14.910930440873265</v>
      </c>
      <c r="G92">
        <f t="shared" si="38"/>
        <v>-0.3321495193760462</v>
      </c>
      <c r="H92">
        <f t="shared" si="38"/>
        <v>-1.8866084085233581E-15</v>
      </c>
      <c r="I92">
        <f t="shared" si="38"/>
        <v>-0.60435639941453956</v>
      </c>
    </row>
    <row r="93" spans="1:12" x14ac:dyDescent="0.2">
      <c r="H93" s="12"/>
    </row>
    <row r="94" spans="1:12" x14ac:dyDescent="0.2">
      <c r="A94" t="s">
        <v>98</v>
      </c>
      <c r="H94" s="12"/>
    </row>
    <row r="95" spans="1:12" x14ac:dyDescent="0.2">
      <c r="A95" t="s">
        <v>71</v>
      </c>
      <c r="B95">
        <f>SUM(D91:I91)</f>
        <v>-230.7114971252401</v>
      </c>
    </row>
    <row r="96" spans="1:12" x14ac:dyDescent="0.2">
      <c r="A96" t="s">
        <v>70</v>
      </c>
      <c r="B96">
        <f>SUM(D92:I92)</f>
        <v>-111.60460356596043</v>
      </c>
    </row>
    <row r="98" spans="1:5" x14ac:dyDescent="0.2">
      <c r="A98" t="s">
        <v>39</v>
      </c>
      <c r="B98" s="12">
        <f>SUM(D86:J86)</f>
        <v>12.227328804093505</v>
      </c>
    </row>
    <row r="99" spans="1:5" x14ac:dyDescent="0.2">
      <c r="A99" t="s">
        <v>43</v>
      </c>
      <c r="B99" s="12">
        <f>SUM(D87:J87)</f>
        <v>17.462778412797299</v>
      </c>
    </row>
    <row r="100" spans="1:5" x14ac:dyDescent="0.2">
      <c r="E100" s="1"/>
    </row>
    <row r="101" spans="1:5" x14ac:dyDescent="0.2">
      <c r="A101" t="s">
        <v>40</v>
      </c>
      <c r="B101" s="12">
        <f>SUM(D88:J88)</f>
        <v>581.45014382400223</v>
      </c>
      <c r="E101" s="1"/>
    </row>
    <row r="102" spans="1:5" x14ac:dyDescent="0.2">
      <c r="A102" t="s">
        <v>42</v>
      </c>
      <c r="B102" s="12">
        <f>SUM(D89:J89)</f>
        <v>244.85028770702783</v>
      </c>
      <c r="E102" s="1"/>
    </row>
    <row r="103" spans="1:5" x14ac:dyDescent="0.2">
      <c r="E103" s="1"/>
    </row>
    <row r="104" spans="1:5" x14ac:dyDescent="0.2">
      <c r="A104" t="s">
        <v>78</v>
      </c>
      <c r="B104" s="12">
        <f>B98+D65</f>
        <v>36.227328804093503</v>
      </c>
      <c r="E104" s="1"/>
    </row>
    <row r="105" spans="1:5" x14ac:dyDescent="0.2">
      <c r="A105" t="s">
        <v>79</v>
      </c>
      <c r="B105" s="12">
        <f>B99+D64</f>
        <v>30.0627784127973</v>
      </c>
      <c r="E105" s="1"/>
    </row>
    <row r="107" spans="1:5" x14ac:dyDescent="0.2">
      <c r="A107" t="s">
        <v>80</v>
      </c>
      <c r="B107">
        <f>D67+B101+2*B95</f>
        <v>616.02714957352202</v>
      </c>
    </row>
    <row r="108" spans="1:5" x14ac:dyDescent="0.2">
      <c r="A108" t="s">
        <v>81</v>
      </c>
      <c r="B108">
        <f>D66+B102+2*B96</f>
        <v>92.078580575106997</v>
      </c>
    </row>
    <row r="110" spans="1:5" x14ac:dyDescent="0.2">
      <c r="A110" t="s">
        <v>56</v>
      </c>
      <c r="B110">
        <f>B107^0.5</f>
        <v>24.819894229700537</v>
      </c>
    </row>
    <row r="111" spans="1:5" x14ac:dyDescent="0.2">
      <c r="A111" t="s">
        <v>72</v>
      </c>
      <c r="B111">
        <f>B108^0.5</f>
        <v>9.5957584679433747</v>
      </c>
    </row>
    <row r="113" spans="1:2" x14ac:dyDescent="0.2">
      <c r="A113" t="s">
        <v>82</v>
      </c>
      <c r="B113">
        <f>B104-B110*1.645</f>
        <v>-4.6013972037638808</v>
      </c>
    </row>
    <row r="114" spans="1:2" x14ac:dyDescent="0.2">
      <c r="A114" t="s">
        <v>83</v>
      </c>
      <c r="B114">
        <f>B105-B111*1.645</f>
        <v>14.277755733030448</v>
      </c>
    </row>
    <row r="115" spans="1:2" x14ac:dyDescent="0.2">
      <c r="A115" t="s">
        <v>84</v>
      </c>
      <c r="B115">
        <f>B104+B110*1.645</f>
        <v>77.056054811950887</v>
      </c>
    </row>
    <row r="116" spans="1:2" x14ac:dyDescent="0.2">
      <c r="A116" t="s">
        <v>85</v>
      </c>
      <c r="B116">
        <f>B105+B111*1.645</f>
        <v>45.847801092564154</v>
      </c>
    </row>
    <row r="118" spans="1:2" x14ac:dyDescent="0.2">
      <c r="A118" t="s">
        <v>100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2024-08-27T18:39:24Z</dcterms:created>
  <dcterms:modified xsi:type="dcterms:W3CDTF">2025-10-26T14:26:29Z</dcterms:modified>
</cp:coreProperties>
</file>