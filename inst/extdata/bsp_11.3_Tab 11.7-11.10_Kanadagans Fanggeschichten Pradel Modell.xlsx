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/Users/Henle/Documents/Dateien/Publikationen/Methodenbuch/Ulmer Texte/Daten/Online/"/>
    </mc:Choice>
  </mc:AlternateContent>
  <xr:revisionPtr revIDLastSave="0" documentId="13_ncr:1_{CD9D51C9-F285-4A4E-A555-E9B47B175548}" xr6:coauthVersionLast="47" xr6:coauthVersionMax="47" xr10:uidLastSave="{00000000-0000-0000-0000-000000000000}"/>
  <bookViews>
    <workbookView xWindow="2100" yWindow="1780" windowWidth="22140" windowHeight="15920" tabRatio="500" xr2:uid="{00000000-000D-0000-FFFF-FFFF00000000}"/>
  </bookViews>
  <sheets>
    <sheet name="Kanadagans-Fanggesc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5" i="1" l="1"/>
  <c r="C129" i="1" l="1"/>
  <c r="C127" i="1"/>
  <c r="C125" i="1"/>
  <c r="C123" i="1"/>
  <c r="E169" i="1" l="1"/>
  <c r="D169" i="1"/>
  <c r="E168" i="1"/>
  <c r="D168" i="1"/>
  <c r="D116" i="1" l="1"/>
  <c r="D126" i="1"/>
  <c r="B129" i="1"/>
  <c r="B130" i="1"/>
  <c r="D130" i="1" s="1"/>
  <c r="B128" i="1"/>
  <c r="D128" i="1" s="1"/>
  <c r="B127" i="1"/>
  <c r="B125" i="1"/>
  <c r="F104" i="1"/>
  <c r="H105" i="1" s="1"/>
  <c r="B117" i="1" s="1"/>
  <c r="D98" i="1"/>
  <c r="F100" i="1" s="1"/>
  <c r="H101" i="1" s="1"/>
  <c r="B123" i="1" s="1"/>
  <c r="F96" i="1"/>
  <c r="H90" i="1"/>
  <c r="F87" i="1"/>
  <c r="H88" i="1" s="1"/>
  <c r="H86" i="1"/>
  <c r="H82" i="1"/>
  <c r="C119" i="1" s="1"/>
  <c r="D81" i="1"/>
  <c r="F83" i="1" s="1"/>
  <c r="H84" i="1" s="1"/>
  <c r="F79" i="1"/>
  <c r="H80" i="1" s="1"/>
  <c r="C117" i="1" s="1"/>
  <c r="H78" i="1"/>
  <c r="C121" i="1" s="1"/>
  <c r="H49" i="1"/>
  <c r="F46" i="1"/>
  <c r="H47" i="1" s="1"/>
  <c r="H45" i="1"/>
  <c r="H41" i="1"/>
  <c r="H58" i="1"/>
  <c r="D40" i="1"/>
  <c r="F42" i="1" s="1"/>
  <c r="H43" i="1" s="1"/>
  <c r="F38" i="1"/>
  <c r="H39" i="1" s="1"/>
  <c r="H37" i="1"/>
  <c r="H66" i="1"/>
  <c r="F63" i="1"/>
  <c r="H64" i="1" s="1"/>
  <c r="H62" i="1"/>
  <c r="F55" i="1"/>
  <c r="H56" i="1" s="1"/>
  <c r="H54" i="1"/>
  <c r="D57" i="1"/>
  <c r="F59" i="1" s="1"/>
  <c r="H60" i="1" s="1"/>
  <c r="C115" i="1" l="1"/>
  <c r="D115" i="1" s="1"/>
  <c r="D129" i="1"/>
  <c r="D127" i="1"/>
  <c r="D123" i="1"/>
  <c r="D117" i="1"/>
  <c r="D125" i="1"/>
  <c r="E141" i="1" s="1"/>
  <c r="H97" i="1"/>
  <c r="D141" i="1" l="1"/>
  <c r="H107" i="1"/>
  <c r="B119" i="1" s="1"/>
  <c r="D119" i="1" s="1"/>
  <c r="B118" i="1"/>
  <c r="D118" i="1" s="1"/>
  <c r="E148" i="1"/>
  <c r="H99" i="1"/>
  <c r="H103" i="1"/>
  <c r="D144" i="1" l="1"/>
  <c r="C158" i="1" s="1"/>
  <c r="D148" i="1"/>
  <c r="H95" i="1"/>
  <c r="B122" i="1" s="1"/>
  <c r="B121" i="1"/>
  <c r="D121" i="1" s="1"/>
  <c r="B124" i="1"/>
  <c r="D124" i="1" s="1"/>
  <c r="B120" i="1"/>
  <c r="C139" i="1" l="1"/>
  <c r="C140" i="1" s="1"/>
  <c r="F148" i="1"/>
  <c r="D120" i="1"/>
  <c r="D122" i="1"/>
  <c r="F143" i="1" l="1"/>
  <c r="G143" i="1" s="1"/>
  <c r="D156" i="1" s="1"/>
  <c r="E142" i="1"/>
  <c r="E149" i="1" s="1"/>
  <c r="F142" i="1"/>
  <c r="F144" i="1" s="1"/>
  <c r="F139" i="1"/>
  <c r="D139" i="1"/>
  <c r="D140" i="1" s="1"/>
  <c r="E139" i="1"/>
  <c r="E140" i="1" s="1"/>
  <c r="D155" i="1" s="1"/>
  <c r="B155" i="1"/>
  <c r="B154" i="1"/>
  <c r="G148" i="1"/>
  <c r="C159" i="1" s="1"/>
  <c r="G141" i="1"/>
  <c r="B156" i="1" s="1"/>
  <c r="D154" i="1" l="1"/>
  <c r="C155" i="1"/>
  <c r="C154" i="1"/>
  <c r="F140" i="1"/>
  <c r="E155" i="1" s="1"/>
  <c r="E154" i="1"/>
  <c r="F149" i="1"/>
  <c r="E144" i="1"/>
  <c r="D158" i="1" s="1"/>
  <c r="G142" i="1"/>
  <c r="C156" i="1" s="1"/>
  <c r="C157" i="1" l="1"/>
  <c r="B161" i="1" s="1"/>
  <c r="F150" i="1"/>
  <c r="G149" i="1"/>
  <c r="D159" i="1" s="1"/>
  <c r="D157" i="1" s="1"/>
  <c r="B163" i="1" l="1"/>
  <c r="B162" i="1"/>
  <c r="B164" i="1"/>
  <c r="B169" i="1" s="1"/>
  <c r="B168" i="1"/>
  <c r="C160" i="1"/>
  <c r="C161" i="1"/>
  <c r="C164" i="1" s="1"/>
  <c r="C169" i="1" s="1"/>
  <c r="D160" i="1"/>
  <c r="C168" i="1"/>
  <c r="C163" i="1" l="1"/>
  <c r="C162" i="1"/>
</calcChain>
</file>

<file path=xl/sharedStrings.xml><?xml version="1.0" encoding="utf-8"?>
<sst xmlns="http://schemas.openxmlformats.org/spreadsheetml/2006/main" count="262" uniqueCount="127">
  <si>
    <t>Anzahl</t>
  </si>
  <si>
    <t>i</t>
  </si>
  <si>
    <t>ni</t>
  </si>
  <si>
    <t>Ri</t>
  </si>
  <si>
    <t>ri</t>
  </si>
  <si>
    <t>mi</t>
  </si>
  <si>
    <t>z2</t>
  </si>
  <si>
    <t>z3</t>
  </si>
  <si>
    <t>Jahr 1</t>
  </si>
  <si>
    <t>Jahr 2</t>
  </si>
  <si>
    <t>Jahr 3</t>
  </si>
  <si>
    <t>Jahr 4</t>
  </si>
  <si>
    <t>X11</t>
  </si>
  <si>
    <t>X1011</t>
  </si>
  <si>
    <t>X1111</t>
  </si>
  <si>
    <t>X111</t>
  </si>
  <si>
    <t>X101</t>
  </si>
  <si>
    <t>X1101</t>
  </si>
  <si>
    <t>X1001</t>
  </si>
  <si>
    <t>X011</t>
  </si>
  <si>
    <t>X0111</t>
  </si>
  <si>
    <t>X0101</t>
  </si>
  <si>
    <t>X0011</t>
  </si>
  <si>
    <t>Adulttiere</t>
  </si>
  <si>
    <t>X1=R1</t>
  </si>
  <si>
    <t>X01=R01</t>
  </si>
  <si>
    <t>X001=R001</t>
  </si>
  <si>
    <t>Anmerkung</t>
  </si>
  <si>
    <t>Datenquelle</t>
  </si>
  <si>
    <t>Raveling, D.G. (1978): Dynamics of distribution of Canada geese in winter. – Transactions of the North American Wildlife and Natural Resources Conference 43: 206–225</t>
  </si>
  <si>
    <t>Parameterdefinitionen</t>
  </si>
  <si>
    <t>Vorgehensweise</t>
  </si>
  <si>
    <t>Pollock, K.H., Nichols, J.D., Brownie, C., Hines, J.E. (1990): Statistical inference for capture-recapture experiments. – Wildlife Monographs 107: 1–97</t>
  </si>
  <si>
    <t>Als erster Schritt werden aus den Fangdaten die Fanggeschichten erstellt. Hier übernommen aus Pollock et al. (1990)</t>
  </si>
  <si>
    <t>Als nächster Schritt müssen die Fanggeschichten umgekehrt werden</t>
  </si>
  <si>
    <t>Die Fanggeschichte X101 = 2 bei den Jungtieren in der folgenden Tabelle bedeutet die Anzahl an markierten Jungtieren im Jahr 1, die im Jahr 2 nicht, aber im Jahr 3 wieder gesichtet wurden</t>
  </si>
  <si>
    <t>Jungtiere</t>
  </si>
  <si>
    <t>Fanggeschichte</t>
  </si>
  <si>
    <t>Erstellen umgedrehter Fanggeschichten</t>
  </si>
  <si>
    <t xml:space="preserve">X111 </t>
  </si>
  <si>
    <t>X01</t>
  </si>
  <si>
    <t>X10</t>
  </si>
  <si>
    <t>Mit diesen Daten können die Fangstatistiken für die Schätzung der Überlebensrate erstellt werden (siehe Beispiel 11.4 in Kap. 11.4).</t>
  </si>
  <si>
    <t>Danach können die Fangstatistiken erstellt werden, mit denen die Zuwachsraten berechnet werden können</t>
  </si>
  <si>
    <t>Ursprüngliche Fanggeschichten und deren Anzahl</t>
  </si>
  <si>
    <t>X110</t>
  </si>
  <si>
    <t>X1110</t>
  </si>
  <si>
    <t>X1100</t>
  </si>
  <si>
    <t>X1010</t>
  </si>
  <si>
    <t>X1000</t>
  </si>
  <si>
    <t>X00</t>
  </si>
  <si>
    <t>X0</t>
  </si>
  <si>
    <t>X000</t>
  </si>
  <si>
    <t>X100</t>
  </si>
  <si>
    <t>Jung markiert</t>
  </si>
  <si>
    <t>Gesamt</t>
  </si>
  <si>
    <t>X001</t>
  </si>
  <si>
    <t>X0110</t>
  </si>
  <si>
    <t>X010</t>
  </si>
  <si>
    <t>X0100</t>
  </si>
  <si>
    <t>X0010</t>
  </si>
  <si>
    <t>X0000</t>
  </si>
  <si>
    <t>Summierung der Fanggeschichten</t>
  </si>
  <si>
    <t>Adult markiert</t>
  </si>
  <si>
    <t>Für deren Erstellung ist es hilfreich, die vorhergehenden beiden Tabellen zu kopieren</t>
  </si>
  <si>
    <t>Anschließend wird bei der kopierten Tabelle der Jungtiere die erste 1 in eine 0 verwandelt</t>
  </si>
  <si>
    <t>Hierbei ist es hilfreich, die nicht umgedrehte Fanggeschichte erst dann zu löschen, wenn man kontrolliert hat, dass kein Fehler entstanden ist</t>
  </si>
  <si>
    <t>Da manche Fanggeschichten fehlen und bei den als Jungtieren markierten Individuen Fanggeschichten mehrfach auftreten können,</t>
  </si>
  <si>
    <t>ist es hilfreich, in einer separaten temporären Spalte neben den Fangeschichten die Fanggeschichten zu sortieren, damit man sofort weiß, welche nicht bzw. mehrfach auftreten.</t>
  </si>
  <si>
    <t>j</t>
  </si>
  <si>
    <t>Zur Berechnung von ni muss man alle Fanggeschichten addieren, bei denen bei i eine 1 steht</t>
  </si>
  <si>
    <t>Fanggelegenheit</t>
  </si>
  <si>
    <t>rj</t>
  </si>
  <si>
    <r>
      <t xml:space="preserve">Anzahl Individuen von </t>
    </r>
    <r>
      <rPr>
        <i/>
        <sz val="11"/>
        <color theme="1"/>
        <rFont val="Calibri"/>
        <family val="2"/>
        <scheme val="minor"/>
      </rPr>
      <t>R</t>
    </r>
    <r>
      <rPr>
        <i/>
        <vertAlign val="sub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 xml:space="preserve">, die zum Zeitpunkt </t>
    </r>
    <r>
      <rPr>
        <i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 xml:space="preserve"> freigelassen und bei einem späteren Fangtermin wiedergefangen wurden</t>
    </r>
  </si>
  <si>
    <r>
      <t xml:space="preserve">Anzahl markierter Individuen, die bei der </t>
    </r>
    <r>
      <rPr>
        <i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-ten Erfassung wiedergefangen/festgestellt wurden</t>
    </r>
  </si>
  <si>
    <t>Mi</t>
  </si>
  <si>
    <r>
      <t xml:space="preserve">Anzahl markierter Tiere, die sich zum Zeitpunkt der </t>
    </r>
    <r>
      <rPr>
        <i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-ten Erfassung in der Population befinden</t>
    </r>
  </si>
  <si>
    <t>pi</t>
  </si>
  <si>
    <t>Fangwahrscheinlichkeit bei Fanggelegenheit i</t>
  </si>
  <si>
    <r>
      <rPr>
        <sz val="12"/>
        <color theme="1"/>
        <rFont val="Symbol"/>
        <charset val="2"/>
      </rPr>
      <t>f</t>
    </r>
    <r>
      <rPr>
        <sz val="10"/>
        <rFont val="Geneva"/>
        <family val="2"/>
      </rPr>
      <t>i</t>
    </r>
  </si>
  <si>
    <r>
      <t xml:space="preserve">Überlebenswahrscheinlichkeit aller Tiere zwischen der </t>
    </r>
    <r>
      <rPr>
        <i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-ten und (</t>
    </r>
    <r>
      <rPr>
        <i/>
        <sz val="11"/>
        <color theme="1"/>
        <rFont val="Calibri"/>
        <family val="2"/>
        <scheme val="minor"/>
      </rPr>
      <t>i+</t>
    </r>
    <r>
      <rPr>
        <sz val="11"/>
        <color theme="1"/>
        <rFont val="Calibri"/>
        <family val="2"/>
        <scheme val="minor"/>
      </rPr>
      <t>1)-ten Erfassung</t>
    </r>
  </si>
  <si>
    <t>s.e.</t>
  </si>
  <si>
    <t>zi</t>
  </si>
  <si>
    <t>Anzahl bei Fanggelegenheit i erfasster Gänse</t>
  </si>
  <si>
    <t>Anzahl bei Fanggelegenheit i erfasster Gänse, die der Population nicht entnommen wurden</t>
  </si>
  <si>
    <t>umgedrehte</t>
  </si>
  <si>
    <t>Fangstatistiken und Parameterschätzungen</t>
  </si>
  <si>
    <t>—</t>
  </si>
  <si>
    <t>P(capture)</t>
  </si>
  <si>
    <r>
      <rPr>
        <sz val="12"/>
        <color theme="1"/>
        <rFont val="Symbol"/>
        <charset val="2"/>
      </rPr>
      <t>f</t>
    </r>
    <r>
      <rPr>
        <sz val="10"/>
        <rFont val="Geneva"/>
        <family val="2"/>
      </rPr>
      <t>i</t>
    </r>
  </si>
  <si>
    <t>sdp (full)</t>
  </si>
  <si>
    <t>sdp (sample)</t>
  </si>
  <si>
    <t>q</t>
  </si>
  <si>
    <t>Zi</t>
  </si>
  <si>
    <t>qi</t>
  </si>
  <si>
    <t>Mortalität zwischen Zeitpunkt i und i+1</t>
  </si>
  <si>
    <t>Standardfehler</t>
  </si>
  <si>
    <r>
      <rPr>
        <sz val="12"/>
        <color theme="1"/>
        <rFont val="Symbol"/>
        <charset val="2"/>
      </rPr>
      <t>g</t>
    </r>
    <r>
      <rPr>
        <sz val="12"/>
        <color theme="1"/>
        <rFont val="Calibri"/>
        <family val="2"/>
        <charset val="2"/>
        <scheme val="minor"/>
      </rPr>
      <t xml:space="preserve"> i</t>
    </r>
  </si>
  <si>
    <t>X0001</t>
  </si>
  <si>
    <t>mij</t>
  </si>
  <si>
    <t>Anzahl der Gänse, die zum Zeitpunkt i und zuletzt davor zum Zeitpunkt j gefangen wurden (1≤j≤i-1)</t>
  </si>
  <si>
    <t>Für die weiteren Berechnungen der Fangstatistiken müssen diejenigen Fanggeschichten addiert werden, für die zum Zeitpunkt i eine 1 steht und j die letzte 1 davor ist (siehe Definition von mji)</t>
  </si>
  <si>
    <t>Da keine Fangverluste aufgetreten sind, ist Ri=ni</t>
  </si>
  <si>
    <t>–</t>
  </si>
  <si>
    <t>i, j</t>
  </si>
  <si>
    <r>
      <rPr>
        <sz val="11"/>
        <color theme="1"/>
        <rFont val="Calibri"/>
        <family val="2"/>
        <scheme val="minor"/>
      </rPr>
      <t xml:space="preserve">Anzahl Tiere, die vor der Fanggelegenheit </t>
    </r>
    <r>
      <rPr>
        <i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 xml:space="preserve"> markiert und bei Fanggelegenheit </t>
    </r>
    <r>
      <rPr>
        <i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 xml:space="preserve"> nicht, jedoch bei einer späteren Fanggelegenheit wiedergefangen wurden</t>
    </r>
  </si>
  <si>
    <r>
      <t xml:space="preserve">l </t>
    </r>
    <r>
      <rPr>
        <sz val="10"/>
        <rFont val="Calibri (Textkörper)"/>
      </rPr>
      <t>i</t>
    </r>
  </si>
  <si>
    <t>Danach werden die Fanggeschichten von hinten gelesen und in die entsprechende Spalte eingesetzt</t>
  </si>
  <si>
    <t>Tabellarische Berechnung von mi, ri und zi auf Basis der umgedrehten Fanggeschichten</t>
  </si>
  <si>
    <t>Die weiteren Berechnungen erfolgen wie für das Jolly-Seber-Grundmodell in Kap. 11.1.2 des Buches erläutert</t>
  </si>
  <si>
    <t>Berechnung von zi (die blau markierten Werte werden bei der Summe ignoriert)</t>
  </si>
  <si>
    <t>z1</t>
  </si>
  <si>
    <t>Schätzung der Wachstumsrate</t>
  </si>
  <si>
    <t>Die Mortalität der adulten Gänse wurde mit einem Altersklassenmodell geschätzt (siehe Kap. 11.4)</t>
  </si>
  <si>
    <t>Tab. 11.7-11.10, Beispiel 11.3: Umwandlung der Fanggeschichten von adulten weiblichen Kanadagänsen für die Schätzung deren Zuwachsraten mit Pradel's Recruitment Modell</t>
  </si>
  <si>
    <t>Wachstumsrate der Population zwischen Zeitpunkt i und i+1</t>
  </si>
  <si>
    <t>Da hier die Zuwachsrate adulter weiblicher Gänse geschätzt werden soll und Jungtiere nach einem Jahr geschlechtsreif sind, muss als nächstes die erste 1 in der Fanggeschichte der Jungtiere in eine 0 umgewandelt werden.</t>
  </si>
  <si>
    <t>Rote Fanggeschichten sind in Pollock et al. (1990) nicht aufgeführt. Sie ergeben sich als Differenz der schwarzen Werte von den Werten im Vorjahr</t>
  </si>
  <si>
    <t>Als nächstes müssen die Parameter  umbenannt und die Reihenfolge der Fanggelegenheiten muss umgedreht werden</t>
  </si>
  <si>
    <r>
      <t xml:space="preserve">b </t>
    </r>
    <r>
      <rPr>
        <sz val="10"/>
        <rFont val="Calibri (Textkörper)"/>
      </rPr>
      <t>i</t>
    </r>
  </si>
  <si>
    <r>
      <t xml:space="preserve">g </t>
    </r>
    <r>
      <rPr>
        <sz val="11"/>
        <rFont val="Calibri (Textkörper)"/>
      </rPr>
      <t>i</t>
    </r>
  </si>
  <si>
    <r>
      <t xml:space="preserve">b </t>
    </r>
    <r>
      <rPr>
        <sz val="11"/>
        <rFont val="Calibri (Textkörper)"/>
      </rPr>
      <t>i</t>
    </r>
  </si>
  <si>
    <r>
      <t xml:space="preserve">f </t>
    </r>
    <r>
      <rPr>
        <sz val="11"/>
        <rFont val="Calibri (Textkörper)"/>
      </rPr>
      <t>i</t>
    </r>
  </si>
  <si>
    <r>
      <t xml:space="preserve">l </t>
    </r>
    <r>
      <rPr>
        <sz val="11"/>
        <rFont val="Calibri (Textkörper)"/>
      </rPr>
      <t>i</t>
    </r>
  </si>
  <si>
    <t>Die Wachstumsrate vom Jahr 2 auf Jahr 3 ist also sehr hoch</t>
  </si>
  <si>
    <t>Zuwachsrate, entspricht dem Anteil der Individuen im Jahr i+1, die neu hinzugekommen sind (erwachsen gewordene Jungtiere und Immigration)</t>
  </si>
  <si>
    <t>Wahrscheinlichkeit, dass ein Tier, das zum Zeitpunkt i sich in der Population befand, auch schon zum Zeitpunkt i-1 vorhanden war, oft auch als seniority bezeichnet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</si>
</sst>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5" x14ac:knownFonts="1">
    <font>
      <sz val="10"/>
      <name val="Geneva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0"/>
      <name val="Geneva"/>
      <family val="2"/>
    </font>
    <font>
      <sz val="10"/>
      <name val="Geneva"/>
      <family val="2"/>
    </font>
    <font>
      <b/>
      <sz val="10"/>
      <name val="Geneva"/>
      <family val="2"/>
    </font>
    <font>
      <sz val="11"/>
      <name val="Calibri"/>
      <family val="2"/>
    </font>
    <font>
      <sz val="10"/>
      <color rgb="FFFF0000"/>
      <name val="Geneva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vertAlign val="subscript"/>
      <sz val="11"/>
      <color theme="1"/>
      <name val="Calibri"/>
      <family val="2"/>
      <scheme val="minor"/>
    </font>
    <font>
      <sz val="12"/>
      <color theme="1"/>
      <name val="Calibri"/>
      <family val="2"/>
      <charset val="2"/>
      <scheme val="minor"/>
    </font>
    <font>
      <sz val="12"/>
      <color theme="1"/>
      <name val="Symbol"/>
      <charset val="2"/>
    </font>
    <font>
      <sz val="12"/>
      <color rgb="FF0070C0"/>
      <name val="Calibri"/>
      <family val="2"/>
      <scheme val="minor"/>
    </font>
    <font>
      <sz val="12"/>
      <name val="Calibri"/>
      <family val="2"/>
      <scheme val="minor"/>
    </font>
    <font>
      <sz val="10"/>
      <name val="Symbol"/>
      <charset val="2"/>
    </font>
    <font>
      <sz val="10"/>
      <name val="Calibri (Textkörper)"/>
    </font>
    <font>
      <sz val="11"/>
      <name val="Geneva"/>
      <family val="2"/>
    </font>
    <font>
      <sz val="11"/>
      <name val="Symbol"/>
      <charset val="2"/>
    </font>
    <font>
      <sz val="11"/>
      <name val="Calibri (Textkörper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4" fillId="0" borderId="0" xfId="0" applyFont="1"/>
    <xf numFmtId="0" fontId="13" fillId="0" borderId="0" xfId="0" applyFont="1"/>
    <xf numFmtId="0" fontId="16" fillId="0" borderId="0" xfId="0" applyFont="1" applyProtection="1">
      <protection locked="0"/>
    </xf>
    <xf numFmtId="0" fontId="14" fillId="0" borderId="0" xfId="0" applyFont="1"/>
    <xf numFmtId="0" fontId="7" fillId="0" borderId="0" xfId="0" applyFont="1" applyAlignment="1">
      <alignment horizontal="right"/>
    </xf>
    <xf numFmtId="0" fontId="18" fillId="0" borderId="0" xfId="0" applyFont="1"/>
    <xf numFmtId="0" fontId="19" fillId="0" borderId="0" xfId="0" applyFont="1"/>
    <xf numFmtId="0" fontId="0" fillId="0" borderId="0" xfId="0" applyProtection="1">
      <protection locked="0"/>
    </xf>
    <xf numFmtId="164" fontId="0" fillId="0" borderId="0" xfId="0" applyNumberFormat="1" applyProtection="1">
      <protection locked="0"/>
    </xf>
    <xf numFmtId="2" fontId="0" fillId="0" borderId="0" xfId="0" applyNumberFormat="1" applyProtection="1">
      <protection locked="0"/>
    </xf>
    <xf numFmtId="0" fontId="6" fillId="0" borderId="0" xfId="0" applyFont="1" applyProtection="1">
      <protection locked="0"/>
    </xf>
    <xf numFmtId="2" fontId="0" fillId="0" borderId="0" xfId="0" applyNumberFormat="1"/>
    <xf numFmtId="0" fontId="20" fillId="0" borderId="0" xfId="0" applyFont="1"/>
    <xf numFmtId="0" fontId="3" fillId="0" borderId="0" xfId="0" applyFont="1"/>
    <xf numFmtId="0" fontId="2" fillId="0" borderId="0" xfId="0" applyFont="1"/>
    <xf numFmtId="0" fontId="1" fillId="0" borderId="0" xfId="0" applyFont="1"/>
    <xf numFmtId="0" fontId="0" fillId="0" borderId="0" xfId="0" applyAlignment="1">
      <alignment horizontal="right"/>
    </xf>
    <xf numFmtId="0" fontId="6" fillId="0" borderId="0" xfId="0" applyFont="1" applyAlignment="1">
      <alignment horizontal="right"/>
    </xf>
    <xf numFmtId="164" fontId="0" fillId="0" borderId="0" xfId="0" applyNumberFormat="1" applyAlignment="1" applyProtection="1">
      <alignment horizontal="right"/>
      <protection locked="0"/>
    </xf>
    <xf numFmtId="0" fontId="0" fillId="0" borderId="0" xfId="0" applyAlignment="1" applyProtection="1">
      <alignment horizontal="right"/>
      <protection locked="0"/>
    </xf>
    <xf numFmtId="2" fontId="0" fillId="0" borderId="0" xfId="0" applyNumberFormat="1" applyAlignment="1" applyProtection="1">
      <alignment horizontal="right"/>
      <protection locked="0"/>
    </xf>
    <xf numFmtId="2" fontId="6" fillId="0" borderId="0" xfId="0" applyNumberFormat="1" applyFont="1" applyAlignment="1" applyProtection="1">
      <alignment horizontal="right"/>
      <protection locked="0"/>
    </xf>
    <xf numFmtId="2" fontId="0" fillId="0" borderId="0" xfId="0" applyNumberFormat="1" applyAlignment="1">
      <alignment horizontal="right"/>
    </xf>
    <xf numFmtId="0" fontId="22" fillId="0" borderId="0" xfId="0" applyFont="1" applyProtection="1">
      <protection locked="0"/>
    </xf>
    <xf numFmtId="0" fontId="23" fillId="0" borderId="0" xfId="0" applyFont="1" applyProtection="1">
      <protection locked="0"/>
    </xf>
    <xf numFmtId="0" fontId="23" fillId="0" borderId="0" xfId="0" applyFont="1"/>
    <xf numFmtId="0" fontId="2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7"/>
  <sheetViews>
    <sheetView tabSelected="1" topLeftCell="A2" zoomScale="118" workbookViewId="0">
      <selection activeCell="B17" sqref="B17"/>
    </sheetView>
  </sheetViews>
  <sheetFormatPr baseColWidth="10" defaultRowHeight="14" x14ac:dyDescent="0.2"/>
  <cols>
    <col min="1" max="1" width="16.28515625" customWidth="1"/>
    <col min="2" max="2" width="14.85546875" customWidth="1"/>
    <col min="3" max="3" width="17.42578125" customWidth="1"/>
    <col min="4" max="4" width="7.5703125" customWidth="1"/>
    <col min="5" max="5" width="17.5703125" customWidth="1"/>
    <col min="6" max="6" width="7.85546875" customWidth="1"/>
    <col min="7" max="7" width="15.42578125" customWidth="1"/>
  </cols>
  <sheetData>
    <row r="1" spans="1:18" x14ac:dyDescent="0.2">
      <c r="A1" s="3" t="s">
        <v>114</v>
      </c>
    </row>
    <row r="2" spans="1:18" ht="15" x14ac:dyDescent="0.2">
      <c r="A2" s="2" t="s">
        <v>28</v>
      </c>
      <c r="B2" s="4" t="s">
        <v>29</v>
      </c>
    </row>
    <row r="3" spans="1:18" ht="15" x14ac:dyDescent="0.2">
      <c r="B3" s="4" t="s">
        <v>32</v>
      </c>
    </row>
    <row r="4" spans="1:18" ht="15" x14ac:dyDescent="0.2">
      <c r="B4" s="4"/>
    </row>
    <row r="5" spans="1:18" x14ac:dyDescent="0.2">
      <c r="A5" s="3" t="s">
        <v>30</v>
      </c>
    </row>
    <row r="6" spans="1:18" x14ac:dyDescent="0.2">
      <c r="A6" s="2" t="s">
        <v>104</v>
      </c>
      <c r="B6" t="s">
        <v>71</v>
      </c>
      <c r="Q6" s="8"/>
      <c r="R6" s="8"/>
    </row>
    <row r="7" spans="1:18" x14ac:dyDescent="0.2">
      <c r="A7" t="s">
        <v>2</v>
      </c>
      <c r="B7" s="2" t="s">
        <v>83</v>
      </c>
      <c r="Q7" s="8"/>
      <c r="R7" s="8"/>
    </row>
    <row r="8" spans="1:18" x14ac:dyDescent="0.2">
      <c r="A8" t="s">
        <v>3</v>
      </c>
      <c r="B8" s="2" t="s">
        <v>84</v>
      </c>
      <c r="Q8" s="8"/>
      <c r="R8" s="8"/>
    </row>
    <row r="9" spans="1:18" ht="17" x14ac:dyDescent="0.25">
      <c r="A9" t="s">
        <v>72</v>
      </c>
      <c r="B9" s="10" t="s">
        <v>73</v>
      </c>
      <c r="Q9" s="8"/>
      <c r="R9" s="8"/>
    </row>
    <row r="10" spans="1:18" ht="15" x14ac:dyDescent="0.2">
      <c r="A10" t="s">
        <v>5</v>
      </c>
      <c r="B10" s="10" t="s">
        <v>74</v>
      </c>
      <c r="Q10" s="8"/>
      <c r="R10" s="8"/>
    </row>
    <row r="11" spans="1:18" ht="15" x14ac:dyDescent="0.2">
      <c r="A11" s="2" t="s">
        <v>99</v>
      </c>
      <c r="B11" s="10" t="s">
        <v>100</v>
      </c>
      <c r="Q11" s="8"/>
      <c r="R11" s="8"/>
    </row>
    <row r="12" spans="1:18" ht="15" x14ac:dyDescent="0.2">
      <c r="A12" t="s">
        <v>75</v>
      </c>
      <c r="B12" s="10" t="s">
        <v>76</v>
      </c>
      <c r="Q12" s="8"/>
      <c r="R12" s="8"/>
    </row>
    <row r="13" spans="1:18" ht="15" x14ac:dyDescent="0.2">
      <c r="A13" t="s">
        <v>77</v>
      </c>
      <c r="B13" s="10" t="s">
        <v>78</v>
      </c>
      <c r="Q13" s="8"/>
      <c r="R13" s="8"/>
    </row>
    <row r="14" spans="1:18" ht="15" x14ac:dyDescent="0.2">
      <c r="A14" s="2" t="s">
        <v>94</v>
      </c>
      <c r="B14" s="10" t="s">
        <v>95</v>
      </c>
      <c r="Q14" s="8"/>
      <c r="R14" s="8"/>
    </row>
    <row r="15" spans="1:18" ht="15" x14ac:dyDescent="0.2">
      <c r="A15" t="s">
        <v>81</v>
      </c>
      <c r="B15" s="10" t="s">
        <v>96</v>
      </c>
      <c r="Q15" s="8"/>
      <c r="R15" s="8"/>
    </row>
    <row r="16" spans="1:18" ht="15" x14ac:dyDescent="0.2">
      <c r="A16" t="s">
        <v>82</v>
      </c>
      <c r="B16" s="12" t="s">
        <v>105</v>
      </c>
      <c r="Q16" s="8"/>
      <c r="R16" s="8"/>
    </row>
    <row r="17" spans="1:2" ht="15" x14ac:dyDescent="0.2">
      <c r="A17" s="21" t="s">
        <v>119</v>
      </c>
      <c r="B17" s="10" t="s">
        <v>125</v>
      </c>
    </row>
    <row r="18" spans="1:2" ht="15" x14ac:dyDescent="0.2">
      <c r="A18" s="21" t="s">
        <v>106</v>
      </c>
      <c r="B18" s="10" t="s">
        <v>115</v>
      </c>
    </row>
    <row r="19" spans="1:2" ht="16" x14ac:dyDescent="0.2">
      <c r="A19" s="11" t="s">
        <v>79</v>
      </c>
      <c r="B19" s="10" t="s">
        <v>80</v>
      </c>
    </row>
    <row r="20" spans="1:2" ht="16" x14ac:dyDescent="0.2">
      <c r="A20" s="11" t="s">
        <v>97</v>
      </c>
      <c r="B20" s="10" t="s">
        <v>126</v>
      </c>
    </row>
    <row r="22" spans="1:2" x14ac:dyDescent="0.2">
      <c r="A22" s="3" t="s">
        <v>31</v>
      </c>
    </row>
    <row r="23" spans="1:2" x14ac:dyDescent="0.2">
      <c r="A23" s="2" t="s">
        <v>33</v>
      </c>
    </row>
    <row r="24" spans="1:2" x14ac:dyDescent="0.2">
      <c r="A24" s="2" t="s">
        <v>35</v>
      </c>
    </row>
    <row r="25" spans="1:2" x14ac:dyDescent="0.2">
      <c r="A25" s="2" t="s">
        <v>42</v>
      </c>
    </row>
    <row r="26" spans="1:2" x14ac:dyDescent="0.2">
      <c r="A26" s="2" t="s">
        <v>116</v>
      </c>
    </row>
    <row r="27" spans="1:2" x14ac:dyDescent="0.2">
      <c r="A27" s="2" t="s">
        <v>34</v>
      </c>
    </row>
    <row r="28" spans="1:2" x14ac:dyDescent="0.2">
      <c r="A28" s="2" t="s">
        <v>43</v>
      </c>
    </row>
    <row r="29" spans="1:2" x14ac:dyDescent="0.2">
      <c r="A29" s="2"/>
    </row>
    <row r="30" spans="1:2" x14ac:dyDescent="0.2">
      <c r="A30" s="3" t="s">
        <v>44</v>
      </c>
    </row>
    <row r="31" spans="1:2" x14ac:dyDescent="0.2">
      <c r="A31" s="5" t="s">
        <v>117</v>
      </c>
    </row>
    <row r="32" spans="1:2" x14ac:dyDescent="0.2">
      <c r="A32" s="2"/>
      <c r="B32" s="2"/>
    </row>
    <row r="33" spans="1:8" x14ac:dyDescent="0.2">
      <c r="A33" s="3" t="s">
        <v>36</v>
      </c>
    </row>
    <row r="34" spans="1:8" x14ac:dyDescent="0.2">
      <c r="A34" s="2" t="s">
        <v>8</v>
      </c>
      <c r="B34" s="2"/>
      <c r="C34" s="2" t="s">
        <v>9</v>
      </c>
      <c r="D34" s="2"/>
      <c r="E34" s="2" t="s">
        <v>10</v>
      </c>
      <c r="F34" s="2"/>
      <c r="G34" s="2" t="s">
        <v>11</v>
      </c>
      <c r="H34" s="2"/>
    </row>
    <row r="35" spans="1:8" x14ac:dyDescent="0.2">
      <c r="A35" s="2" t="s">
        <v>37</v>
      </c>
      <c r="B35" s="2" t="s">
        <v>0</v>
      </c>
      <c r="C35" s="2" t="s">
        <v>37</v>
      </c>
      <c r="D35" s="2" t="s">
        <v>0</v>
      </c>
      <c r="E35" s="2" t="s">
        <v>37</v>
      </c>
      <c r="F35" s="2" t="s">
        <v>0</v>
      </c>
      <c r="G35" s="2" t="s">
        <v>37</v>
      </c>
      <c r="H35" s="2" t="s">
        <v>0</v>
      </c>
    </row>
    <row r="36" spans="1:8" x14ac:dyDescent="0.2">
      <c r="A36" s="2" t="s">
        <v>24</v>
      </c>
      <c r="B36" s="2">
        <v>129</v>
      </c>
      <c r="C36" s="2" t="s">
        <v>12</v>
      </c>
      <c r="D36" s="2">
        <v>67</v>
      </c>
      <c r="E36" s="2" t="s">
        <v>39</v>
      </c>
      <c r="F36" s="2">
        <v>34</v>
      </c>
      <c r="G36" s="2" t="s">
        <v>14</v>
      </c>
      <c r="H36" s="2">
        <v>17</v>
      </c>
    </row>
    <row r="37" spans="1:8" x14ac:dyDescent="0.2">
      <c r="A37" s="2"/>
      <c r="B37" s="2"/>
      <c r="C37" s="2"/>
      <c r="D37" s="2"/>
      <c r="E37" s="2"/>
      <c r="F37" s="2"/>
      <c r="G37" s="5" t="s">
        <v>46</v>
      </c>
      <c r="H37" s="5">
        <f>F36-H36</f>
        <v>17</v>
      </c>
    </row>
    <row r="38" spans="1:8" x14ac:dyDescent="0.2">
      <c r="A38" s="2"/>
      <c r="B38" s="2"/>
      <c r="C38" s="2"/>
      <c r="D38" s="2"/>
      <c r="E38" s="5" t="s">
        <v>45</v>
      </c>
      <c r="F38" s="5">
        <f>D36-F36</f>
        <v>33</v>
      </c>
      <c r="G38" s="2" t="s">
        <v>17</v>
      </c>
      <c r="H38" s="2">
        <v>2</v>
      </c>
    </row>
    <row r="39" spans="1:8" x14ac:dyDescent="0.2">
      <c r="A39" s="2"/>
      <c r="B39" s="2"/>
      <c r="C39" s="2"/>
      <c r="D39" s="2"/>
      <c r="E39" s="5"/>
      <c r="F39" s="5"/>
      <c r="G39" s="5" t="s">
        <v>47</v>
      </c>
      <c r="H39" s="5">
        <f>F38-H38</f>
        <v>31</v>
      </c>
    </row>
    <row r="40" spans="1:8" x14ac:dyDescent="0.2">
      <c r="A40" s="2"/>
      <c r="B40" s="2"/>
      <c r="C40" s="5" t="s">
        <v>41</v>
      </c>
      <c r="D40" s="5">
        <f>B36-D36</f>
        <v>62</v>
      </c>
      <c r="E40" s="2" t="s">
        <v>16</v>
      </c>
      <c r="F40" s="2">
        <v>2</v>
      </c>
      <c r="G40" s="2" t="s">
        <v>13</v>
      </c>
      <c r="H40" s="2">
        <v>1</v>
      </c>
    </row>
    <row r="41" spans="1:8" x14ac:dyDescent="0.2">
      <c r="A41" s="2"/>
      <c r="B41" s="2"/>
      <c r="C41" s="2"/>
      <c r="D41" s="2"/>
      <c r="E41" s="2"/>
      <c r="F41" s="2"/>
      <c r="G41" s="5" t="s">
        <v>48</v>
      </c>
      <c r="H41" s="5">
        <f>F40-H40</f>
        <v>1</v>
      </c>
    </row>
    <row r="42" spans="1:8" x14ac:dyDescent="0.2">
      <c r="A42" s="2"/>
      <c r="B42" s="2"/>
      <c r="C42" s="2"/>
      <c r="D42" s="2"/>
      <c r="E42" s="5" t="s">
        <v>53</v>
      </c>
      <c r="F42" s="5">
        <f>D40-F40</f>
        <v>60</v>
      </c>
      <c r="G42" s="2" t="s">
        <v>18</v>
      </c>
      <c r="H42" s="2">
        <v>3</v>
      </c>
    </row>
    <row r="43" spans="1:8" x14ac:dyDescent="0.2">
      <c r="A43" s="2"/>
      <c r="B43" s="2"/>
      <c r="C43" s="2"/>
      <c r="D43" s="2"/>
      <c r="E43" s="5"/>
      <c r="F43" s="5"/>
      <c r="G43" s="5" t="s">
        <v>49</v>
      </c>
      <c r="H43" s="5">
        <f>F42-H42</f>
        <v>57</v>
      </c>
    </row>
    <row r="44" spans="1:8" x14ac:dyDescent="0.2">
      <c r="A44" s="2"/>
      <c r="B44" s="2"/>
      <c r="C44" s="2" t="s">
        <v>25</v>
      </c>
      <c r="D44" s="2">
        <v>190</v>
      </c>
      <c r="E44" s="2" t="s">
        <v>19</v>
      </c>
      <c r="F44" s="2">
        <v>83</v>
      </c>
      <c r="G44" s="2" t="s">
        <v>20</v>
      </c>
      <c r="H44" s="2">
        <v>40</v>
      </c>
    </row>
    <row r="45" spans="1:8" x14ac:dyDescent="0.2">
      <c r="A45" s="2"/>
      <c r="B45" s="2"/>
      <c r="C45" s="2"/>
      <c r="D45" s="2"/>
      <c r="E45" s="2"/>
      <c r="F45" s="2"/>
      <c r="G45" s="5" t="s">
        <v>57</v>
      </c>
      <c r="H45" s="5">
        <f>F44-H44</f>
        <v>43</v>
      </c>
    </row>
    <row r="46" spans="1:8" x14ac:dyDescent="0.2">
      <c r="A46" s="2"/>
      <c r="B46" s="2"/>
      <c r="C46" s="2"/>
      <c r="D46" s="2"/>
      <c r="E46" s="5" t="s">
        <v>58</v>
      </c>
      <c r="F46" s="5">
        <f>D44-F44</f>
        <v>107</v>
      </c>
      <c r="G46" s="2" t="s">
        <v>21</v>
      </c>
      <c r="H46" s="2">
        <v>6</v>
      </c>
    </row>
    <row r="47" spans="1:8" x14ac:dyDescent="0.2">
      <c r="A47" s="2"/>
      <c r="B47" s="2"/>
      <c r="C47" s="2"/>
      <c r="D47" s="2"/>
      <c r="E47" s="5"/>
      <c r="F47" s="2"/>
      <c r="G47" s="5" t="s">
        <v>59</v>
      </c>
      <c r="H47" s="5">
        <f>F46-H46</f>
        <v>101</v>
      </c>
    </row>
    <row r="48" spans="1:8" x14ac:dyDescent="0.2">
      <c r="A48" s="2"/>
      <c r="B48" s="2"/>
      <c r="C48" s="2"/>
      <c r="D48" s="2"/>
      <c r="E48" s="2" t="s">
        <v>26</v>
      </c>
      <c r="F48" s="2">
        <v>170</v>
      </c>
      <c r="G48" s="2" t="s">
        <v>22</v>
      </c>
      <c r="H48" s="2">
        <v>60</v>
      </c>
    </row>
    <row r="49" spans="1:8" x14ac:dyDescent="0.2">
      <c r="A49" s="2"/>
      <c r="B49" s="2"/>
      <c r="C49" s="2"/>
      <c r="D49" s="2"/>
      <c r="E49" s="2"/>
      <c r="F49" s="2"/>
      <c r="G49" s="5" t="s">
        <v>60</v>
      </c>
      <c r="H49" s="5">
        <f>F48-H48</f>
        <v>110</v>
      </c>
    </row>
    <row r="50" spans="1:8" x14ac:dyDescent="0.2">
      <c r="A50" s="3" t="s">
        <v>23</v>
      </c>
    </row>
    <row r="51" spans="1:8" x14ac:dyDescent="0.2">
      <c r="A51" s="2" t="s">
        <v>8</v>
      </c>
      <c r="B51" s="2"/>
      <c r="C51" s="2" t="s">
        <v>9</v>
      </c>
      <c r="D51" s="2"/>
      <c r="E51" s="2" t="s">
        <v>10</v>
      </c>
      <c r="F51" s="2"/>
      <c r="G51" s="2" t="s">
        <v>11</v>
      </c>
      <c r="H51" s="2"/>
    </row>
    <row r="52" spans="1:8" x14ac:dyDescent="0.2">
      <c r="A52" s="2" t="s">
        <v>37</v>
      </c>
      <c r="B52" s="2" t="s">
        <v>0</v>
      </c>
      <c r="C52" s="2" t="s">
        <v>37</v>
      </c>
      <c r="D52" s="2" t="s">
        <v>0</v>
      </c>
      <c r="E52" s="2" t="s">
        <v>37</v>
      </c>
      <c r="F52" s="2" t="s">
        <v>0</v>
      </c>
      <c r="G52" s="2" t="s">
        <v>37</v>
      </c>
      <c r="H52" s="2" t="s">
        <v>0</v>
      </c>
    </row>
    <row r="53" spans="1:8" x14ac:dyDescent="0.2">
      <c r="A53" s="2" t="s">
        <v>24</v>
      </c>
      <c r="B53" s="2">
        <v>67</v>
      </c>
      <c r="C53" s="2" t="s">
        <v>12</v>
      </c>
      <c r="D53" s="2">
        <v>47</v>
      </c>
      <c r="E53" s="2" t="s">
        <v>15</v>
      </c>
      <c r="F53" s="2">
        <v>29</v>
      </c>
      <c r="G53" s="2" t="s">
        <v>14</v>
      </c>
      <c r="H53" s="2">
        <v>18</v>
      </c>
    </row>
    <row r="54" spans="1:8" x14ac:dyDescent="0.2">
      <c r="A54" s="2"/>
      <c r="B54" s="2"/>
      <c r="C54" s="2"/>
      <c r="D54" s="2"/>
      <c r="E54" s="2"/>
      <c r="F54" s="2"/>
      <c r="G54" s="5" t="s">
        <v>46</v>
      </c>
      <c r="H54" s="5">
        <f>F53-H53</f>
        <v>11</v>
      </c>
    </row>
    <row r="55" spans="1:8" x14ac:dyDescent="0.2">
      <c r="A55" s="2"/>
      <c r="B55" s="2"/>
      <c r="C55" s="2"/>
      <c r="D55" s="2"/>
      <c r="E55" s="5" t="s">
        <v>45</v>
      </c>
      <c r="F55" s="5">
        <f>D53-F53</f>
        <v>18</v>
      </c>
      <c r="G55" s="2" t="s">
        <v>17</v>
      </c>
      <c r="H55" s="2">
        <v>1</v>
      </c>
    </row>
    <row r="56" spans="1:8" x14ac:dyDescent="0.2">
      <c r="A56" s="2"/>
      <c r="B56" s="2"/>
      <c r="C56" s="2"/>
      <c r="D56" s="2"/>
      <c r="E56" s="5"/>
      <c r="F56" s="5"/>
      <c r="G56" s="5" t="s">
        <v>47</v>
      </c>
      <c r="H56" s="5">
        <f>F55-H55</f>
        <v>17</v>
      </c>
    </row>
    <row r="57" spans="1:8" x14ac:dyDescent="0.2">
      <c r="A57" s="2"/>
      <c r="B57" s="2"/>
      <c r="C57" s="5" t="s">
        <v>41</v>
      </c>
      <c r="D57" s="5">
        <f>B53-D53</f>
        <v>20</v>
      </c>
      <c r="E57" s="2" t="s">
        <v>16</v>
      </c>
      <c r="F57" s="2">
        <v>0</v>
      </c>
      <c r="G57" s="2" t="s">
        <v>13</v>
      </c>
      <c r="H57" s="2">
        <v>0</v>
      </c>
    </row>
    <row r="58" spans="1:8" x14ac:dyDescent="0.2">
      <c r="A58" s="2"/>
      <c r="B58" s="2"/>
      <c r="C58" s="5"/>
      <c r="D58" s="5"/>
      <c r="E58" s="5"/>
      <c r="F58" s="5"/>
      <c r="G58" s="5" t="s">
        <v>48</v>
      </c>
      <c r="H58" s="5">
        <f>F57-H57</f>
        <v>0</v>
      </c>
    </row>
    <row r="59" spans="1:8" x14ac:dyDescent="0.2">
      <c r="A59" s="2"/>
      <c r="B59" s="2"/>
      <c r="E59" s="5" t="s">
        <v>53</v>
      </c>
      <c r="F59" s="5">
        <f>D57-F57</f>
        <v>20</v>
      </c>
      <c r="G59" s="2" t="s">
        <v>18</v>
      </c>
      <c r="H59" s="2">
        <v>0</v>
      </c>
    </row>
    <row r="60" spans="1:8" x14ac:dyDescent="0.2">
      <c r="A60" s="2"/>
      <c r="B60" s="2"/>
      <c r="C60" s="5"/>
      <c r="D60" s="5"/>
      <c r="E60" s="5"/>
      <c r="F60" s="5"/>
      <c r="G60" s="5" t="s">
        <v>49</v>
      </c>
      <c r="H60" s="5">
        <f>F59-H59</f>
        <v>20</v>
      </c>
    </row>
    <row r="61" spans="1:8" x14ac:dyDescent="0.2">
      <c r="A61" s="2"/>
      <c r="B61" s="2"/>
      <c r="C61" s="2" t="s">
        <v>25</v>
      </c>
      <c r="D61" s="2">
        <v>54</v>
      </c>
      <c r="E61" s="2" t="s">
        <v>19</v>
      </c>
      <c r="F61" s="2">
        <v>31</v>
      </c>
      <c r="G61" s="2" t="s">
        <v>20</v>
      </c>
      <c r="H61" s="2">
        <v>15</v>
      </c>
    </row>
    <row r="62" spans="1:8" x14ac:dyDescent="0.2">
      <c r="A62" s="2"/>
      <c r="B62" s="2"/>
      <c r="C62" s="2"/>
      <c r="D62" s="2"/>
      <c r="E62" s="2"/>
      <c r="F62" s="2"/>
      <c r="G62" s="5" t="s">
        <v>57</v>
      </c>
      <c r="H62" s="5">
        <f>F61-H61</f>
        <v>16</v>
      </c>
    </row>
    <row r="63" spans="1:8" x14ac:dyDescent="0.2">
      <c r="A63" s="2"/>
      <c r="B63" s="2"/>
      <c r="C63" s="2"/>
      <c r="D63" s="2"/>
      <c r="E63" s="5" t="s">
        <v>58</v>
      </c>
      <c r="F63" s="5">
        <f>D61-F61</f>
        <v>23</v>
      </c>
      <c r="G63" s="2" t="s">
        <v>21</v>
      </c>
      <c r="H63" s="2">
        <v>2</v>
      </c>
    </row>
    <row r="64" spans="1:8" x14ac:dyDescent="0.2">
      <c r="A64" s="2"/>
      <c r="B64" s="2"/>
      <c r="C64" s="2"/>
      <c r="D64" s="2"/>
      <c r="G64" s="5" t="s">
        <v>59</v>
      </c>
      <c r="H64" s="5">
        <f>F63-H63</f>
        <v>21</v>
      </c>
    </row>
    <row r="65" spans="1:11" x14ac:dyDescent="0.2">
      <c r="A65" s="2"/>
      <c r="B65" s="2"/>
      <c r="C65" s="2"/>
      <c r="D65" s="2"/>
      <c r="E65" s="2" t="s">
        <v>26</v>
      </c>
      <c r="F65" s="2">
        <v>50</v>
      </c>
      <c r="G65" s="2" t="s">
        <v>22</v>
      </c>
      <c r="H65" s="2">
        <v>27</v>
      </c>
    </row>
    <row r="66" spans="1:11" x14ac:dyDescent="0.2">
      <c r="A66" s="2"/>
      <c r="B66" s="2"/>
      <c r="C66" s="2"/>
      <c r="D66" s="2"/>
      <c r="E66" s="2"/>
      <c r="F66" s="2"/>
      <c r="G66" s="5" t="s">
        <v>60</v>
      </c>
      <c r="H66" s="5">
        <f>F65-H65</f>
        <v>23</v>
      </c>
    </row>
    <row r="67" spans="1:11" x14ac:dyDescent="0.2">
      <c r="A67" s="2"/>
      <c r="B67" s="2"/>
      <c r="C67" s="2"/>
      <c r="D67" s="2"/>
      <c r="E67" s="2"/>
      <c r="F67" s="2"/>
      <c r="G67" s="2"/>
      <c r="H67" s="2"/>
    </row>
    <row r="68" spans="1:11" x14ac:dyDescent="0.2">
      <c r="A68" s="3" t="s">
        <v>38</v>
      </c>
      <c r="B68" s="2"/>
      <c r="C68" s="2"/>
      <c r="D68" s="2"/>
      <c r="E68" s="2"/>
      <c r="F68" s="2"/>
      <c r="G68" s="2"/>
      <c r="H68" s="2"/>
    </row>
    <row r="69" spans="1:11" x14ac:dyDescent="0.2">
      <c r="A69" s="2" t="s">
        <v>64</v>
      </c>
      <c r="B69" s="2"/>
      <c r="C69" s="2"/>
      <c r="D69" s="2"/>
      <c r="E69" s="2"/>
      <c r="F69" s="2"/>
      <c r="G69" s="2"/>
      <c r="H69" s="2"/>
    </row>
    <row r="70" spans="1:11" x14ac:dyDescent="0.2">
      <c r="A70" s="2" t="s">
        <v>65</v>
      </c>
      <c r="B70" s="2"/>
      <c r="C70" s="2"/>
      <c r="D70" s="2"/>
      <c r="E70" s="2"/>
      <c r="F70" s="2"/>
      <c r="G70" s="2"/>
      <c r="H70" s="2"/>
    </row>
    <row r="71" spans="1:11" x14ac:dyDescent="0.2">
      <c r="A71" s="2" t="s">
        <v>107</v>
      </c>
      <c r="B71" s="2"/>
      <c r="C71" s="2"/>
      <c r="D71" s="2"/>
      <c r="E71" s="2"/>
      <c r="F71" s="2"/>
      <c r="G71" s="2"/>
      <c r="H71" s="2"/>
    </row>
    <row r="72" spans="1:11" x14ac:dyDescent="0.2">
      <c r="A72" s="2" t="s">
        <v>66</v>
      </c>
      <c r="B72" s="2"/>
      <c r="C72" s="2"/>
      <c r="D72" s="2"/>
      <c r="E72" s="2"/>
      <c r="F72" s="2"/>
      <c r="G72" s="2"/>
      <c r="H72" s="2"/>
    </row>
    <row r="73" spans="1:11" x14ac:dyDescent="0.2">
      <c r="A73" s="2"/>
      <c r="B73" s="2"/>
      <c r="C73" s="2"/>
      <c r="D73" s="2"/>
      <c r="E73" s="2"/>
      <c r="F73" s="2"/>
      <c r="G73" s="2"/>
      <c r="H73" s="2"/>
    </row>
    <row r="74" spans="1:11" x14ac:dyDescent="0.2">
      <c r="A74" s="3" t="s">
        <v>36</v>
      </c>
    </row>
    <row r="75" spans="1:11" x14ac:dyDescent="0.2">
      <c r="A75" s="2" t="s">
        <v>8</v>
      </c>
      <c r="B75" s="2"/>
      <c r="C75" s="2" t="s">
        <v>9</v>
      </c>
      <c r="D75" s="2"/>
      <c r="E75" s="2" t="s">
        <v>10</v>
      </c>
      <c r="F75" s="2"/>
      <c r="G75" s="2" t="s">
        <v>11</v>
      </c>
      <c r="H75" s="2"/>
    </row>
    <row r="76" spans="1:11" x14ac:dyDescent="0.2">
      <c r="A76" s="2" t="s">
        <v>37</v>
      </c>
      <c r="B76" s="2" t="s">
        <v>0</v>
      </c>
      <c r="C76" s="2" t="s">
        <v>37</v>
      </c>
      <c r="D76" s="2" t="s">
        <v>0</v>
      </c>
      <c r="E76" s="2" t="s">
        <v>37</v>
      </c>
      <c r="F76" s="2" t="s">
        <v>0</v>
      </c>
      <c r="G76" s="2" t="s">
        <v>37</v>
      </c>
      <c r="H76" s="2" t="s">
        <v>0</v>
      </c>
    </row>
    <row r="77" spans="1:11" x14ac:dyDescent="0.2">
      <c r="A77" s="2" t="s">
        <v>51</v>
      </c>
      <c r="B77" s="2">
        <v>129</v>
      </c>
      <c r="C77" s="2" t="s">
        <v>41</v>
      </c>
      <c r="D77" s="2">
        <v>67</v>
      </c>
      <c r="E77" s="2" t="s">
        <v>45</v>
      </c>
      <c r="F77" s="2">
        <v>34</v>
      </c>
      <c r="G77" s="2" t="s">
        <v>46</v>
      </c>
      <c r="H77" s="2">
        <v>17</v>
      </c>
      <c r="K77" s="2"/>
    </row>
    <row r="78" spans="1:11" x14ac:dyDescent="0.2">
      <c r="A78" s="2"/>
      <c r="B78" s="2"/>
      <c r="C78" s="2"/>
      <c r="D78" s="2"/>
      <c r="E78" s="2"/>
      <c r="F78" s="2"/>
      <c r="G78" s="5" t="s">
        <v>57</v>
      </c>
      <c r="H78" s="5">
        <f>F77-H77</f>
        <v>17</v>
      </c>
    </row>
    <row r="79" spans="1:11" x14ac:dyDescent="0.2">
      <c r="A79" s="2"/>
      <c r="B79" s="2"/>
      <c r="C79" s="2"/>
      <c r="D79" s="2"/>
      <c r="E79" s="5" t="s">
        <v>58</v>
      </c>
      <c r="F79" s="5">
        <f>D77-F77</f>
        <v>33</v>
      </c>
      <c r="G79" s="2" t="s">
        <v>48</v>
      </c>
      <c r="H79" s="2">
        <v>2</v>
      </c>
    </row>
    <row r="80" spans="1:11" x14ac:dyDescent="0.2">
      <c r="A80" s="2"/>
      <c r="B80" s="2"/>
      <c r="C80" s="2"/>
      <c r="D80" s="2"/>
      <c r="E80" s="5"/>
      <c r="F80" s="5"/>
      <c r="G80" s="5" t="s">
        <v>60</v>
      </c>
      <c r="H80" s="5">
        <f>F79-H79</f>
        <v>31</v>
      </c>
    </row>
    <row r="81" spans="1:8" x14ac:dyDescent="0.2">
      <c r="A81" s="2"/>
      <c r="B81" s="2"/>
      <c r="C81" s="5" t="s">
        <v>50</v>
      </c>
      <c r="D81" s="5">
        <f>B77-D77</f>
        <v>62</v>
      </c>
      <c r="E81" s="2" t="s">
        <v>53</v>
      </c>
      <c r="F81" s="2">
        <v>2</v>
      </c>
      <c r="G81" s="2" t="s">
        <v>47</v>
      </c>
      <c r="H81" s="2">
        <v>1</v>
      </c>
    </row>
    <row r="82" spans="1:8" x14ac:dyDescent="0.2">
      <c r="A82" s="2"/>
      <c r="B82" s="2"/>
      <c r="C82" s="2"/>
      <c r="D82" s="2"/>
      <c r="E82" s="2"/>
      <c r="F82" s="2"/>
      <c r="G82" s="5" t="s">
        <v>59</v>
      </c>
      <c r="H82" s="5">
        <f>F81-H81</f>
        <v>1</v>
      </c>
    </row>
    <row r="83" spans="1:8" x14ac:dyDescent="0.2">
      <c r="A83" s="2"/>
      <c r="B83" s="2"/>
      <c r="C83" s="2"/>
      <c r="D83" s="2"/>
      <c r="E83" s="5" t="s">
        <v>52</v>
      </c>
      <c r="F83" s="5">
        <f>D81-F81</f>
        <v>60</v>
      </c>
      <c r="G83" s="2" t="s">
        <v>49</v>
      </c>
      <c r="H83" s="2">
        <v>3</v>
      </c>
    </row>
    <row r="84" spans="1:8" x14ac:dyDescent="0.2">
      <c r="A84" s="2"/>
      <c r="B84" s="2"/>
      <c r="C84" s="2"/>
      <c r="D84" s="2"/>
      <c r="E84" s="5"/>
      <c r="F84" s="5"/>
      <c r="G84" s="5" t="s">
        <v>61</v>
      </c>
      <c r="H84" s="5">
        <f>F83-H83</f>
        <v>57</v>
      </c>
    </row>
    <row r="85" spans="1:8" x14ac:dyDescent="0.2">
      <c r="A85" s="2"/>
      <c r="B85" s="2"/>
      <c r="C85" s="2" t="s">
        <v>50</v>
      </c>
      <c r="D85" s="2">
        <v>190</v>
      </c>
      <c r="E85" s="2" t="s">
        <v>53</v>
      </c>
      <c r="F85" s="2">
        <v>83</v>
      </c>
      <c r="G85" s="2" t="s">
        <v>47</v>
      </c>
      <c r="H85" s="2">
        <v>40</v>
      </c>
    </row>
    <row r="86" spans="1:8" x14ac:dyDescent="0.2">
      <c r="A86" s="2"/>
      <c r="B86" s="2"/>
      <c r="C86" s="2"/>
      <c r="D86" s="2"/>
      <c r="E86" s="2"/>
      <c r="F86" s="2"/>
      <c r="G86" s="5" t="s">
        <v>59</v>
      </c>
      <c r="H86" s="5">
        <f>F85-H85</f>
        <v>43</v>
      </c>
    </row>
    <row r="87" spans="1:8" x14ac:dyDescent="0.2">
      <c r="A87" s="2"/>
      <c r="B87" s="2"/>
      <c r="C87" s="2"/>
      <c r="D87" s="2"/>
      <c r="E87" s="5" t="s">
        <v>52</v>
      </c>
      <c r="F87" s="5">
        <f>D85-F85</f>
        <v>107</v>
      </c>
      <c r="G87" s="2" t="s">
        <v>49</v>
      </c>
      <c r="H87" s="2">
        <v>6</v>
      </c>
    </row>
    <row r="88" spans="1:8" x14ac:dyDescent="0.2">
      <c r="A88" s="2"/>
      <c r="B88" s="2"/>
      <c r="C88" s="2"/>
      <c r="D88" s="2"/>
      <c r="E88" s="5"/>
      <c r="F88" s="2"/>
      <c r="G88" s="5" t="s">
        <v>61</v>
      </c>
      <c r="H88" s="5">
        <f>F87-H87</f>
        <v>101</v>
      </c>
    </row>
    <row r="89" spans="1:8" x14ac:dyDescent="0.2">
      <c r="A89" s="2"/>
      <c r="B89" s="2"/>
      <c r="C89" s="2"/>
      <c r="D89" s="2"/>
      <c r="E89" s="2" t="s">
        <v>52</v>
      </c>
      <c r="F89" s="2">
        <v>170</v>
      </c>
      <c r="G89" s="2" t="s">
        <v>49</v>
      </c>
      <c r="H89" s="2">
        <v>60</v>
      </c>
    </row>
    <row r="90" spans="1:8" x14ac:dyDescent="0.2">
      <c r="A90" s="2"/>
      <c r="B90" s="2"/>
      <c r="C90" s="2"/>
      <c r="D90" s="2"/>
      <c r="E90" s="2"/>
      <c r="F90" s="2"/>
      <c r="G90" s="5" t="s">
        <v>61</v>
      </c>
      <c r="H90" s="5">
        <f>F89-H89</f>
        <v>110</v>
      </c>
    </row>
    <row r="91" spans="1:8" x14ac:dyDescent="0.2">
      <c r="A91" s="3" t="s">
        <v>23</v>
      </c>
    </row>
    <row r="92" spans="1:8" x14ac:dyDescent="0.2">
      <c r="A92" s="2" t="s">
        <v>8</v>
      </c>
      <c r="B92" s="2"/>
      <c r="C92" s="2" t="s">
        <v>9</v>
      </c>
      <c r="D92" s="2"/>
      <c r="E92" s="2" t="s">
        <v>10</v>
      </c>
      <c r="F92" s="2"/>
      <c r="G92" s="2" t="s">
        <v>11</v>
      </c>
      <c r="H92" s="2"/>
    </row>
    <row r="93" spans="1:8" x14ac:dyDescent="0.2">
      <c r="A93" s="2" t="s">
        <v>37</v>
      </c>
      <c r="B93" s="2" t="s">
        <v>0</v>
      </c>
      <c r="C93" s="2" t="s">
        <v>37</v>
      </c>
      <c r="D93" s="2" t="s">
        <v>0</v>
      </c>
      <c r="E93" s="2" t="s">
        <v>37</v>
      </c>
      <c r="F93" s="2" t="s">
        <v>0</v>
      </c>
      <c r="G93" s="2" t="s">
        <v>37</v>
      </c>
      <c r="H93" s="2" t="s">
        <v>0</v>
      </c>
    </row>
    <row r="94" spans="1:8" x14ac:dyDescent="0.2">
      <c r="A94" s="2" t="s">
        <v>24</v>
      </c>
      <c r="B94" s="2">
        <v>67</v>
      </c>
      <c r="C94" s="2" t="s">
        <v>12</v>
      </c>
      <c r="D94" s="2">
        <v>47</v>
      </c>
      <c r="E94" s="2" t="s">
        <v>15</v>
      </c>
      <c r="F94" s="2">
        <v>29</v>
      </c>
      <c r="G94" s="2" t="s">
        <v>14</v>
      </c>
      <c r="H94" s="2">
        <v>18</v>
      </c>
    </row>
    <row r="95" spans="1:8" x14ac:dyDescent="0.2">
      <c r="A95" s="2"/>
      <c r="B95" s="2"/>
      <c r="C95" s="2"/>
      <c r="D95" s="2"/>
      <c r="E95" s="2"/>
      <c r="F95" s="2"/>
      <c r="G95" s="5" t="s">
        <v>20</v>
      </c>
      <c r="H95" s="5">
        <f>F94-H94</f>
        <v>11</v>
      </c>
    </row>
    <row r="96" spans="1:8" x14ac:dyDescent="0.2">
      <c r="A96" s="2"/>
      <c r="B96" s="2"/>
      <c r="C96" s="2"/>
      <c r="D96" s="2"/>
      <c r="E96" s="5" t="s">
        <v>19</v>
      </c>
      <c r="F96" s="5">
        <f>D94-F94</f>
        <v>18</v>
      </c>
      <c r="G96" s="2" t="s">
        <v>13</v>
      </c>
      <c r="H96" s="2">
        <v>1</v>
      </c>
    </row>
    <row r="97" spans="1:8" x14ac:dyDescent="0.2">
      <c r="A97" s="2"/>
      <c r="B97" s="2"/>
      <c r="C97" s="2"/>
      <c r="D97" s="2"/>
      <c r="E97" s="5"/>
      <c r="F97" s="5"/>
      <c r="G97" s="5" t="s">
        <v>22</v>
      </c>
      <c r="H97" s="5">
        <f>F96-H96</f>
        <v>17</v>
      </c>
    </row>
    <row r="98" spans="1:8" x14ac:dyDescent="0.2">
      <c r="A98" s="2"/>
      <c r="B98" s="2"/>
      <c r="C98" s="5" t="s">
        <v>40</v>
      </c>
      <c r="D98" s="5">
        <f>B94-D94</f>
        <v>20</v>
      </c>
      <c r="E98" s="2" t="s">
        <v>16</v>
      </c>
      <c r="F98" s="2">
        <v>0</v>
      </c>
      <c r="G98" s="2" t="s">
        <v>17</v>
      </c>
      <c r="H98" s="2">
        <v>0</v>
      </c>
    </row>
    <row r="99" spans="1:8" x14ac:dyDescent="0.2">
      <c r="A99" s="2"/>
      <c r="B99" s="2"/>
      <c r="C99" s="5"/>
      <c r="D99" s="5"/>
      <c r="E99" s="5"/>
      <c r="F99" s="5"/>
      <c r="G99" s="5" t="s">
        <v>21</v>
      </c>
      <c r="H99" s="5">
        <f>F98-H98</f>
        <v>0</v>
      </c>
    </row>
    <row r="100" spans="1:8" x14ac:dyDescent="0.2">
      <c r="A100" s="2"/>
      <c r="B100" s="2"/>
      <c r="E100" s="5" t="s">
        <v>56</v>
      </c>
      <c r="F100" s="5">
        <f>D98-F98</f>
        <v>20</v>
      </c>
      <c r="G100" s="2" t="s">
        <v>18</v>
      </c>
      <c r="H100" s="2">
        <v>0</v>
      </c>
    </row>
    <row r="101" spans="1:8" x14ac:dyDescent="0.2">
      <c r="A101" s="2"/>
      <c r="B101" s="2"/>
      <c r="C101" s="5"/>
      <c r="D101" s="5"/>
      <c r="E101" s="5"/>
      <c r="F101" s="5"/>
      <c r="G101" s="5" t="s">
        <v>98</v>
      </c>
      <c r="H101" s="5">
        <f>F100-H100</f>
        <v>20</v>
      </c>
    </row>
    <row r="102" spans="1:8" x14ac:dyDescent="0.2">
      <c r="A102" s="2"/>
      <c r="B102" s="2"/>
      <c r="C102" s="2" t="s">
        <v>41</v>
      </c>
      <c r="D102" s="2">
        <v>54</v>
      </c>
      <c r="E102" s="2" t="s">
        <v>45</v>
      </c>
      <c r="F102" s="2">
        <v>31</v>
      </c>
      <c r="G102" s="2" t="s">
        <v>46</v>
      </c>
      <c r="H102" s="2">
        <v>15</v>
      </c>
    </row>
    <row r="103" spans="1:8" x14ac:dyDescent="0.2">
      <c r="A103" s="2"/>
      <c r="B103" s="2"/>
      <c r="C103" s="2"/>
      <c r="D103" s="2"/>
      <c r="E103" s="2"/>
      <c r="F103" s="2"/>
      <c r="G103" s="5" t="s">
        <v>57</v>
      </c>
      <c r="H103" s="5">
        <f>F102-H102</f>
        <v>16</v>
      </c>
    </row>
    <row r="104" spans="1:8" x14ac:dyDescent="0.2">
      <c r="A104" s="2"/>
      <c r="B104" s="2"/>
      <c r="C104" s="2"/>
      <c r="D104" s="2"/>
      <c r="E104" s="5" t="s">
        <v>58</v>
      </c>
      <c r="F104" s="5">
        <f>D102-F102</f>
        <v>23</v>
      </c>
      <c r="G104" s="2" t="s">
        <v>48</v>
      </c>
      <c r="H104" s="2">
        <v>2</v>
      </c>
    </row>
    <row r="105" spans="1:8" x14ac:dyDescent="0.2">
      <c r="A105" s="2"/>
      <c r="B105" s="2"/>
      <c r="C105" s="2"/>
      <c r="D105" s="2"/>
      <c r="G105" s="5" t="s">
        <v>60</v>
      </c>
      <c r="H105" s="5">
        <f>F104-H104</f>
        <v>21</v>
      </c>
    </row>
    <row r="106" spans="1:8" x14ac:dyDescent="0.2">
      <c r="A106" s="2"/>
      <c r="B106" s="2"/>
      <c r="C106" s="2"/>
      <c r="D106" s="2"/>
      <c r="E106" s="2" t="s">
        <v>53</v>
      </c>
      <c r="F106" s="2">
        <v>50</v>
      </c>
      <c r="G106" s="2" t="s">
        <v>47</v>
      </c>
      <c r="H106" s="2">
        <v>27</v>
      </c>
    </row>
    <row r="107" spans="1:8" x14ac:dyDescent="0.2">
      <c r="A107" s="2"/>
      <c r="B107" s="2"/>
      <c r="C107" s="2"/>
      <c r="D107" s="2"/>
      <c r="E107" s="2"/>
      <c r="F107" s="2"/>
      <c r="G107" s="5" t="s">
        <v>59</v>
      </c>
      <c r="H107" s="5">
        <f>F106-H106</f>
        <v>23</v>
      </c>
    </row>
    <row r="108" spans="1:8" x14ac:dyDescent="0.2">
      <c r="A108" s="2"/>
      <c r="B108" s="2"/>
      <c r="C108" s="2"/>
      <c r="D108" s="2"/>
      <c r="E108" s="2"/>
      <c r="F108" s="2"/>
      <c r="G108" s="5"/>
      <c r="H108" s="5"/>
    </row>
    <row r="109" spans="1:8" x14ac:dyDescent="0.2">
      <c r="A109" s="3" t="s">
        <v>62</v>
      </c>
      <c r="B109" s="2"/>
      <c r="C109" s="2"/>
      <c r="D109" s="2"/>
      <c r="E109" s="2"/>
      <c r="F109" s="2"/>
      <c r="G109" s="5"/>
      <c r="H109" s="5"/>
    </row>
    <row r="110" spans="1:8" x14ac:dyDescent="0.2">
      <c r="A110" s="2" t="s">
        <v>67</v>
      </c>
      <c r="B110" s="2"/>
      <c r="C110" s="2"/>
      <c r="D110" s="2"/>
      <c r="E110" s="2"/>
      <c r="F110" s="2"/>
      <c r="G110" s="5"/>
      <c r="H110" s="5"/>
    </row>
    <row r="111" spans="1:8" x14ac:dyDescent="0.2">
      <c r="A111" s="2" t="s">
        <v>68</v>
      </c>
      <c r="B111" s="2"/>
      <c r="C111" s="2"/>
      <c r="D111" s="2"/>
      <c r="E111" s="2"/>
      <c r="F111" s="2"/>
      <c r="G111" s="5"/>
      <c r="H111" s="5"/>
    </row>
    <row r="112" spans="1:8" x14ac:dyDescent="0.2">
      <c r="A112" s="2"/>
      <c r="B112" s="2"/>
      <c r="C112" s="2"/>
      <c r="D112" s="2"/>
      <c r="E112" s="2"/>
      <c r="F112" s="2"/>
      <c r="G112" s="5"/>
      <c r="H112" s="5"/>
    </row>
    <row r="113" spans="1:9" x14ac:dyDescent="0.2">
      <c r="A113" s="2" t="s">
        <v>85</v>
      </c>
      <c r="B113" s="2"/>
      <c r="C113" s="2"/>
      <c r="D113" s="2"/>
      <c r="E113" s="2"/>
      <c r="F113" s="2"/>
      <c r="G113" s="5"/>
      <c r="H113" s="5"/>
    </row>
    <row r="114" spans="1:9" x14ac:dyDescent="0.2">
      <c r="A114" s="2" t="s">
        <v>37</v>
      </c>
      <c r="B114" s="2" t="s">
        <v>63</v>
      </c>
      <c r="C114" s="2" t="s">
        <v>54</v>
      </c>
      <c r="D114" s="2" t="s">
        <v>55</v>
      </c>
      <c r="E114" s="2"/>
      <c r="F114" s="2"/>
      <c r="G114" s="5"/>
      <c r="H114" s="5"/>
    </row>
    <row r="115" spans="1:9" x14ac:dyDescent="0.2">
      <c r="A115" s="2">
        <v>0</v>
      </c>
      <c r="B115" s="2">
        <v>0</v>
      </c>
      <c r="C115" s="2">
        <f>H90+H88+H84</f>
        <v>268</v>
      </c>
      <c r="D115" s="2">
        <f>B115+C115</f>
        <v>268</v>
      </c>
      <c r="E115" s="2"/>
      <c r="F115" s="2"/>
      <c r="G115" s="5"/>
      <c r="H115" s="5"/>
    </row>
    <row r="116" spans="1:9" x14ac:dyDescent="0.2">
      <c r="A116" s="2">
        <v>1</v>
      </c>
      <c r="B116" s="2">
        <v>20</v>
      </c>
      <c r="C116" s="2">
        <v>0</v>
      </c>
      <c r="D116" s="2">
        <f t="shared" ref="D116:D130" si="0">B116+C116</f>
        <v>20</v>
      </c>
      <c r="E116" s="2"/>
      <c r="F116" s="2"/>
      <c r="G116" s="5"/>
      <c r="H116" s="5"/>
    </row>
    <row r="117" spans="1:9" x14ac:dyDescent="0.2">
      <c r="A117" s="2">
        <v>10</v>
      </c>
      <c r="B117" s="2">
        <f>H105</f>
        <v>21</v>
      </c>
      <c r="C117" s="2">
        <f>H80</f>
        <v>31</v>
      </c>
      <c r="D117" s="2">
        <f t="shared" si="0"/>
        <v>52</v>
      </c>
      <c r="E117" s="2"/>
      <c r="F117" s="2"/>
      <c r="G117" s="5"/>
      <c r="H117" s="5"/>
    </row>
    <row r="118" spans="1:9" x14ac:dyDescent="0.2">
      <c r="A118" s="2">
        <v>11</v>
      </c>
      <c r="B118" s="2">
        <f>H97</f>
        <v>17</v>
      </c>
      <c r="C118" s="2">
        <v>0</v>
      </c>
      <c r="D118" s="2">
        <f t="shared" si="0"/>
        <v>17</v>
      </c>
      <c r="E118" s="2"/>
      <c r="F118" s="2"/>
      <c r="G118" s="5"/>
      <c r="H118" s="5"/>
    </row>
    <row r="119" spans="1:9" x14ac:dyDescent="0.2">
      <c r="A119" s="2">
        <v>100</v>
      </c>
      <c r="B119" s="2">
        <f>H107</f>
        <v>23</v>
      </c>
      <c r="C119" s="2">
        <f>H82+H86</f>
        <v>44</v>
      </c>
      <c r="D119" s="2">
        <f t="shared" si="0"/>
        <v>67</v>
      </c>
      <c r="E119" s="2"/>
      <c r="F119" s="2"/>
      <c r="G119" s="5"/>
      <c r="H119" s="5"/>
    </row>
    <row r="120" spans="1:9" x14ac:dyDescent="0.2">
      <c r="A120">
        <v>101</v>
      </c>
      <c r="B120">
        <f>H99</f>
        <v>0</v>
      </c>
      <c r="C120">
        <v>0</v>
      </c>
      <c r="D120" s="2">
        <f t="shared" si="0"/>
        <v>0</v>
      </c>
      <c r="F120" s="2"/>
      <c r="G120" s="5"/>
      <c r="H120" s="5"/>
    </row>
    <row r="121" spans="1:9" x14ac:dyDescent="0.2">
      <c r="A121">
        <v>110</v>
      </c>
      <c r="B121">
        <f>H103</f>
        <v>16</v>
      </c>
      <c r="C121">
        <f>H78</f>
        <v>17</v>
      </c>
      <c r="D121" s="2">
        <f t="shared" si="0"/>
        <v>33</v>
      </c>
      <c r="F121" s="2"/>
      <c r="G121" s="5"/>
      <c r="H121" s="5"/>
    </row>
    <row r="122" spans="1:9" x14ac:dyDescent="0.2">
      <c r="A122">
        <v>111</v>
      </c>
      <c r="B122">
        <f>H95</f>
        <v>11</v>
      </c>
      <c r="C122">
        <v>0</v>
      </c>
      <c r="D122" s="2">
        <f t="shared" si="0"/>
        <v>11</v>
      </c>
      <c r="F122" s="2"/>
      <c r="G122" s="2"/>
      <c r="H122" s="5"/>
      <c r="I122" s="5"/>
    </row>
    <row r="123" spans="1:9" x14ac:dyDescent="0.2">
      <c r="A123">
        <v>1000</v>
      </c>
      <c r="B123">
        <f>H101</f>
        <v>20</v>
      </c>
      <c r="C123">
        <f>H89+H87+H83</f>
        <v>69</v>
      </c>
      <c r="D123" s="2">
        <f t="shared" si="0"/>
        <v>89</v>
      </c>
      <c r="F123" s="2"/>
      <c r="G123" s="2"/>
      <c r="H123" s="5"/>
      <c r="I123" s="5"/>
    </row>
    <row r="124" spans="1:9" x14ac:dyDescent="0.2">
      <c r="A124">
        <v>1001</v>
      </c>
      <c r="B124">
        <f>H99</f>
        <v>0</v>
      </c>
      <c r="C124">
        <v>0</v>
      </c>
      <c r="D124" s="2">
        <f t="shared" si="0"/>
        <v>0</v>
      </c>
      <c r="F124" s="2"/>
      <c r="G124" s="2"/>
      <c r="H124" s="5"/>
      <c r="I124" s="5"/>
    </row>
    <row r="125" spans="1:9" x14ac:dyDescent="0.2">
      <c r="A125">
        <v>1010</v>
      </c>
      <c r="B125">
        <f>H104</f>
        <v>2</v>
      </c>
      <c r="C125">
        <f>H79</f>
        <v>2</v>
      </c>
      <c r="D125" s="2">
        <f t="shared" si="0"/>
        <v>4</v>
      </c>
      <c r="F125" s="2"/>
      <c r="G125" s="2"/>
      <c r="H125" s="5"/>
      <c r="I125" s="5"/>
    </row>
    <row r="126" spans="1:9" x14ac:dyDescent="0.2">
      <c r="A126">
        <v>1011</v>
      </c>
      <c r="B126">
        <v>1</v>
      </c>
      <c r="C126">
        <v>0</v>
      </c>
      <c r="D126" s="2">
        <f t="shared" si="0"/>
        <v>1</v>
      </c>
      <c r="F126" s="2"/>
      <c r="G126" s="2"/>
      <c r="H126" s="5"/>
      <c r="I126" s="5"/>
    </row>
    <row r="127" spans="1:9" x14ac:dyDescent="0.2">
      <c r="A127">
        <v>1100</v>
      </c>
      <c r="B127">
        <f>H106</f>
        <v>27</v>
      </c>
      <c r="C127">
        <f>H85+H81</f>
        <v>41</v>
      </c>
      <c r="D127" s="2">
        <f t="shared" si="0"/>
        <v>68</v>
      </c>
      <c r="F127" s="2"/>
      <c r="G127" s="2"/>
      <c r="H127" s="5"/>
      <c r="I127" s="5"/>
    </row>
    <row r="128" spans="1:9" x14ac:dyDescent="0.2">
      <c r="A128">
        <v>1101</v>
      </c>
      <c r="B128">
        <f>H98</f>
        <v>0</v>
      </c>
      <c r="C128">
        <v>0</v>
      </c>
      <c r="D128" s="2">
        <f t="shared" si="0"/>
        <v>0</v>
      </c>
      <c r="F128" s="2"/>
      <c r="G128" s="2"/>
      <c r="H128" s="5"/>
      <c r="I128" s="5"/>
    </row>
    <row r="129" spans="1:9" x14ac:dyDescent="0.2">
      <c r="A129">
        <v>1110</v>
      </c>
      <c r="B129">
        <f>H102</f>
        <v>15</v>
      </c>
      <c r="C129">
        <f>H77</f>
        <v>17</v>
      </c>
      <c r="D129" s="2">
        <f t="shared" si="0"/>
        <v>32</v>
      </c>
      <c r="F129" s="2"/>
      <c r="G129" s="2"/>
      <c r="H129" s="5"/>
      <c r="I129" s="5"/>
    </row>
    <row r="130" spans="1:9" x14ac:dyDescent="0.2">
      <c r="A130">
        <v>1111</v>
      </c>
      <c r="B130">
        <f>H94</f>
        <v>18</v>
      </c>
      <c r="C130">
        <v>0</v>
      </c>
      <c r="D130" s="2">
        <f t="shared" si="0"/>
        <v>18</v>
      </c>
      <c r="F130" s="2"/>
      <c r="G130" s="2"/>
      <c r="H130" s="5"/>
      <c r="I130" s="5"/>
    </row>
    <row r="131" spans="1:9" x14ac:dyDescent="0.2">
      <c r="F131" s="2"/>
      <c r="G131" s="2"/>
      <c r="H131" s="5"/>
      <c r="I131" s="5"/>
    </row>
    <row r="132" spans="1:9" ht="16" x14ac:dyDescent="0.2">
      <c r="A132" s="6" t="s">
        <v>108</v>
      </c>
    </row>
    <row r="133" spans="1:9" ht="16" x14ac:dyDescent="0.2">
      <c r="A133" s="9" t="s">
        <v>70</v>
      </c>
    </row>
    <row r="134" spans="1:9" ht="16" x14ac:dyDescent="0.2">
      <c r="A134" s="23" t="s">
        <v>102</v>
      </c>
    </row>
    <row r="135" spans="1:9" ht="16" x14ac:dyDescent="0.2">
      <c r="A135" s="22" t="s">
        <v>101</v>
      </c>
    </row>
    <row r="136" spans="1:9" ht="16" x14ac:dyDescent="0.2">
      <c r="A136" s="24" t="s">
        <v>109</v>
      </c>
    </row>
    <row r="137" spans="1:9" ht="16" x14ac:dyDescent="0.2">
      <c r="A137" s="6"/>
    </row>
    <row r="138" spans="1:9" x14ac:dyDescent="0.2">
      <c r="B138" s="3" t="s">
        <v>1</v>
      </c>
      <c r="C138" s="7">
        <v>1</v>
      </c>
      <c r="D138" s="7">
        <v>2</v>
      </c>
      <c r="E138" s="7">
        <v>3</v>
      </c>
      <c r="F138" s="7">
        <v>4</v>
      </c>
    </row>
    <row r="139" spans="1:9" ht="16" x14ac:dyDescent="0.2">
      <c r="B139" s="6" t="s">
        <v>2</v>
      </c>
      <c r="C139" s="8">
        <f>SUM(D123:D130)</f>
        <v>212</v>
      </c>
      <c r="D139" s="8">
        <f>SUM(D127:D130)+SUM(D119:D122)</f>
        <v>229</v>
      </c>
      <c r="E139" s="8">
        <f>D117+D118+D121+D122+D125+D126+D129+D130</f>
        <v>168</v>
      </c>
      <c r="F139" s="8">
        <f>D116+D118+D120+D122+D124+D126+D128+D130</f>
        <v>67</v>
      </c>
    </row>
    <row r="140" spans="1:9" ht="16" x14ac:dyDescent="0.2">
      <c r="A140" s="3" t="s">
        <v>69</v>
      </c>
      <c r="B140" s="6" t="s">
        <v>3</v>
      </c>
      <c r="C140" s="8">
        <f>C139</f>
        <v>212</v>
      </c>
      <c r="D140" s="8">
        <f t="shared" ref="D140:F140" si="1">D139</f>
        <v>229</v>
      </c>
      <c r="E140" s="8">
        <f t="shared" si="1"/>
        <v>168</v>
      </c>
      <c r="F140" s="8">
        <f t="shared" si="1"/>
        <v>67</v>
      </c>
      <c r="G140" s="13" t="s">
        <v>4</v>
      </c>
    </row>
    <row r="141" spans="1:9" ht="16" x14ac:dyDescent="0.2">
      <c r="A141" s="6">
        <v>1</v>
      </c>
      <c r="D141" s="8">
        <f>SUM(D127:D130)</f>
        <v>118</v>
      </c>
      <c r="E141" s="8">
        <f>D125+D126</f>
        <v>5</v>
      </c>
      <c r="F141" s="8">
        <v>0</v>
      </c>
      <c r="G141">
        <f t="shared" ref="G141:G142" si="2">D141+E141+F141</f>
        <v>123</v>
      </c>
    </row>
    <row r="142" spans="1:9" ht="16" x14ac:dyDescent="0.2">
      <c r="A142" s="6">
        <v>2</v>
      </c>
      <c r="E142" s="8">
        <f>D130+D129+D122+D121</f>
        <v>94</v>
      </c>
      <c r="F142" s="8">
        <f>D128+D120</f>
        <v>0</v>
      </c>
      <c r="G142">
        <f t="shared" si="2"/>
        <v>94</v>
      </c>
    </row>
    <row r="143" spans="1:9" ht="16" x14ac:dyDescent="0.2">
      <c r="A143" s="6">
        <v>3</v>
      </c>
      <c r="F143" s="8">
        <f>D130+D126+D122+D118</f>
        <v>47</v>
      </c>
      <c r="G143">
        <f>F143</f>
        <v>47</v>
      </c>
    </row>
    <row r="144" spans="1:9" ht="16" x14ac:dyDescent="0.2">
      <c r="A144" s="6" t="s">
        <v>5</v>
      </c>
      <c r="C144">
        <v>0</v>
      </c>
      <c r="D144">
        <f>D141</f>
        <v>118</v>
      </c>
      <c r="E144">
        <f>E141+E142</f>
        <v>99</v>
      </c>
      <c r="F144">
        <f>F141+F142+F143</f>
        <v>47</v>
      </c>
    </row>
    <row r="146" spans="1:8" x14ac:dyDescent="0.2">
      <c r="A146" s="2" t="s">
        <v>110</v>
      </c>
      <c r="E146" s="1"/>
    </row>
    <row r="147" spans="1:8" x14ac:dyDescent="0.2">
      <c r="C147" s="7">
        <v>1</v>
      </c>
      <c r="D147" s="7">
        <v>2</v>
      </c>
      <c r="E147" s="7">
        <v>3</v>
      </c>
      <c r="F147" s="7">
        <v>4</v>
      </c>
      <c r="G147" s="7">
        <v>0</v>
      </c>
      <c r="H147" s="2" t="s">
        <v>111</v>
      </c>
    </row>
    <row r="148" spans="1:8" ht="16" x14ac:dyDescent="0.2">
      <c r="A148">
        <v>1</v>
      </c>
      <c r="D148" s="14">
        <f>D141</f>
        <v>118</v>
      </c>
      <c r="E148">
        <f>E141</f>
        <v>5</v>
      </c>
      <c r="F148">
        <f>F141</f>
        <v>0</v>
      </c>
      <c r="G148">
        <f>E148+F148</f>
        <v>5</v>
      </c>
      <c r="H148" s="2" t="s">
        <v>6</v>
      </c>
    </row>
    <row r="149" spans="1:8" ht="16" x14ac:dyDescent="0.2">
      <c r="A149">
        <v>2</v>
      </c>
      <c r="E149" s="14">
        <f>E148+E142</f>
        <v>99</v>
      </c>
      <c r="F149" s="15">
        <f>F148+F142</f>
        <v>0</v>
      </c>
      <c r="G149">
        <f>F149</f>
        <v>0</v>
      </c>
      <c r="H149" s="2" t="s">
        <v>7</v>
      </c>
    </row>
    <row r="150" spans="1:8" ht="16" x14ac:dyDescent="0.2">
      <c r="A150">
        <v>3</v>
      </c>
      <c r="F150" s="14">
        <f>F149+F143</f>
        <v>47</v>
      </c>
    </row>
    <row r="152" spans="1:8" x14ac:dyDescent="0.2">
      <c r="A152" s="3" t="s">
        <v>86</v>
      </c>
    </row>
    <row r="153" spans="1:8" x14ac:dyDescent="0.2">
      <c r="A153" s="19" t="s">
        <v>1</v>
      </c>
      <c r="B153" s="16">
        <v>1</v>
      </c>
      <c r="C153" s="16">
        <v>2</v>
      </c>
      <c r="D153">
        <v>3</v>
      </c>
      <c r="E153">
        <v>4</v>
      </c>
    </row>
    <row r="154" spans="1:8" x14ac:dyDescent="0.2">
      <c r="A154" s="19" t="s">
        <v>2</v>
      </c>
      <c r="B154">
        <f>C139</f>
        <v>212</v>
      </c>
      <c r="C154">
        <f>D139</f>
        <v>229</v>
      </c>
      <c r="D154" s="25">
        <f>E139</f>
        <v>168</v>
      </c>
      <c r="E154" s="25">
        <f>F139</f>
        <v>67</v>
      </c>
    </row>
    <row r="155" spans="1:8" x14ac:dyDescent="0.2">
      <c r="A155" s="19" t="s">
        <v>3</v>
      </c>
      <c r="B155">
        <f>C140</f>
        <v>212</v>
      </c>
      <c r="C155">
        <f>D140</f>
        <v>229</v>
      </c>
      <c r="D155" s="25">
        <f>E140</f>
        <v>168</v>
      </c>
      <c r="E155" s="25">
        <f>F140</f>
        <v>67</v>
      </c>
    </row>
    <row r="156" spans="1:8" x14ac:dyDescent="0.2">
      <c r="A156" s="19" t="s">
        <v>4</v>
      </c>
      <c r="B156">
        <f>G141</f>
        <v>123</v>
      </c>
      <c r="C156">
        <f>G142</f>
        <v>94</v>
      </c>
      <c r="D156" s="25">
        <f>G143</f>
        <v>47</v>
      </c>
      <c r="E156" s="26" t="s">
        <v>87</v>
      </c>
    </row>
    <row r="157" spans="1:8" x14ac:dyDescent="0.2">
      <c r="A157" s="19" t="s">
        <v>75</v>
      </c>
      <c r="B157" s="16">
        <v>0</v>
      </c>
      <c r="C157" s="17">
        <f>C158+C159*C155/C156</f>
        <v>130.18085106382978</v>
      </c>
      <c r="D157" s="27">
        <f>D158+D159*D155/D156</f>
        <v>99</v>
      </c>
      <c r="E157" s="27" t="s">
        <v>87</v>
      </c>
    </row>
    <row r="158" spans="1:8" x14ac:dyDescent="0.2">
      <c r="A158" s="19" t="s">
        <v>5</v>
      </c>
      <c r="B158">
        <v>0</v>
      </c>
      <c r="C158" s="16">
        <f>D144</f>
        <v>118</v>
      </c>
      <c r="D158" s="28">
        <f>E144</f>
        <v>99</v>
      </c>
      <c r="E158" s="28">
        <v>47</v>
      </c>
    </row>
    <row r="159" spans="1:8" x14ac:dyDescent="0.2">
      <c r="A159" s="19" t="s">
        <v>93</v>
      </c>
      <c r="B159">
        <v>0</v>
      </c>
      <c r="C159">
        <f>G148</f>
        <v>5</v>
      </c>
      <c r="D159" s="25">
        <f>G149</f>
        <v>0</v>
      </c>
      <c r="E159" s="25" t="s">
        <v>87</v>
      </c>
    </row>
    <row r="160" spans="1:8" x14ac:dyDescent="0.2">
      <c r="A160" s="16" t="s">
        <v>88</v>
      </c>
      <c r="B160" s="18" t="s">
        <v>87</v>
      </c>
      <c r="C160" s="18">
        <f>C158/C157</f>
        <v>0.90643131486475448</v>
      </c>
      <c r="D160" s="29">
        <f>D158/D157</f>
        <v>1</v>
      </c>
      <c r="E160" s="30" t="s">
        <v>87</v>
      </c>
    </row>
    <row r="161" spans="1:5" ht="16" x14ac:dyDescent="0.2">
      <c r="A161" s="11" t="s">
        <v>89</v>
      </c>
      <c r="B161" s="18">
        <f>C157/(B157-B158+B155)</f>
        <v>0.6140606182256122</v>
      </c>
      <c r="C161" s="18">
        <f>D157/(C157-C158+C155)</f>
        <v>0.41048034934497818</v>
      </c>
      <c r="D161" s="30" t="s">
        <v>87</v>
      </c>
      <c r="E161" s="30" t="s">
        <v>87</v>
      </c>
    </row>
    <row r="162" spans="1:5" x14ac:dyDescent="0.2">
      <c r="A162" s="16" t="s">
        <v>90</v>
      </c>
      <c r="B162" s="18">
        <f>SQRT(B161^2*((C157-C158)*(C157-C158+C155)/C157^2*(1/C156-1/C155)+(B157-B158)/(B157-B158+B155)*(1/B156-1/B155))+B161*(1-B161)/(B157-B158+B155))</f>
        <v>3.9087301254904554E-2</v>
      </c>
      <c r="C162" s="18">
        <f>SQRT(C161^2*((D157-D158)*(D157-D158+D155)/D157^2*(1/D156-1/D155)+(C157-C158)/(C157-C158+C155)*(1/C156-1/C155))+C161*(1-C161)/(C157-C158+C155))</f>
        <v>3.2507052116754753E-2</v>
      </c>
      <c r="D162" s="30" t="s">
        <v>87</v>
      </c>
      <c r="E162" s="30" t="s">
        <v>87</v>
      </c>
    </row>
    <row r="163" spans="1:5" x14ac:dyDescent="0.2">
      <c r="A163" s="16" t="s">
        <v>91</v>
      </c>
      <c r="B163" s="18">
        <f>SQRT(B161^2*((C157-C158)*(C157-C158+C155)/C157^2*(1/C156-1/C155)+(B157-B158)/(B157-B158+B155)*(1/B156-1/B155)))</f>
        <v>2.0246948749976078E-2</v>
      </c>
      <c r="C163" s="18">
        <f>SQRT(C161^2*((D157-D158)*(D157-D158+D155)/D157^2*(1/D156-1/D155)+(C157-C158)/(C157-C158+C155)*(1/C156-1/C155)))</f>
        <v>7.3054166887338307E-3</v>
      </c>
      <c r="D163" s="30" t="s">
        <v>87</v>
      </c>
      <c r="E163" s="30" t="s">
        <v>87</v>
      </c>
    </row>
    <row r="164" spans="1:5" x14ac:dyDescent="0.2">
      <c r="A164" s="16" t="s">
        <v>92</v>
      </c>
      <c r="B164" s="18">
        <f>1-B161</f>
        <v>0.3859393817743878</v>
      </c>
      <c r="C164" s="18">
        <f>1-C161</f>
        <v>0.58951965065502177</v>
      </c>
      <c r="D164" s="30" t="s">
        <v>87</v>
      </c>
      <c r="E164" s="30" t="s">
        <v>87</v>
      </c>
    </row>
    <row r="166" spans="1:5" x14ac:dyDescent="0.2">
      <c r="A166" s="19" t="s">
        <v>118</v>
      </c>
    </row>
    <row r="167" spans="1:5" ht="16" x14ac:dyDescent="0.25">
      <c r="A167" s="32" t="s">
        <v>1</v>
      </c>
      <c r="B167">
        <v>4</v>
      </c>
      <c r="C167">
        <v>3</v>
      </c>
      <c r="D167">
        <v>2</v>
      </c>
      <c r="E167">
        <v>1</v>
      </c>
    </row>
    <row r="168" spans="1:5" ht="15" x14ac:dyDescent="0.2">
      <c r="A168" s="33" t="s">
        <v>120</v>
      </c>
      <c r="B168" s="20">
        <f>B161</f>
        <v>0.6140606182256122</v>
      </c>
      <c r="C168" s="20">
        <f>C161</f>
        <v>0.41048034934497818</v>
      </c>
      <c r="D168" s="31" t="str">
        <f>D161</f>
        <v>—</v>
      </c>
      <c r="E168" s="31" t="str">
        <f>E161</f>
        <v>—</v>
      </c>
    </row>
    <row r="169" spans="1:5" ht="15" x14ac:dyDescent="0.2">
      <c r="A169" s="34" t="s">
        <v>121</v>
      </c>
      <c r="B169" s="20">
        <f>B164</f>
        <v>0.3859393817743878</v>
      </c>
      <c r="C169" s="20">
        <f t="shared" ref="C169:E169" si="3">C164</f>
        <v>0.58951965065502177</v>
      </c>
      <c r="D169" s="31" t="str">
        <f t="shared" si="3"/>
        <v>—</v>
      </c>
      <c r="E169" s="31" t="str">
        <f t="shared" si="3"/>
        <v>—</v>
      </c>
    </row>
    <row r="171" spans="1:5" x14ac:dyDescent="0.2">
      <c r="A171" s="3" t="s">
        <v>112</v>
      </c>
    </row>
    <row r="172" spans="1:5" x14ac:dyDescent="0.2">
      <c r="A172" s="2" t="s">
        <v>27</v>
      </c>
      <c r="B172" s="2" t="s">
        <v>113</v>
      </c>
    </row>
    <row r="173" spans="1:5" ht="16" x14ac:dyDescent="0.25">
      <c r="A173" s="35" t="s">
        <v>1</v>
      </c>
      <c r="B173">
        <v>1</v>
      </c>
      <c r="C173">
        <v>2</v>
      </c>
      <c r="D173">
        <v>3</v>
      </c>
    </row>
    <row r="174" spans="1:5" ht="15" x14ac:dyDescent="0.2">
      <c r="A174" s="34" t="s">
        <v>122</v>
      </c>
      <c r="B174">
        <v>0.72</v>
      </c>
      <c r="C174">
        <v>0.63</v>
      </c>
    </row>
    <row r="175" spans="1:5" ht="15" x14ac:dyDescent="0.2">
      <c r="A175" s="34" t="s">
        <v>123</v>
      </c>
      <c r="B175" s="2" t="s">
        <v>103</v>
      </c>
      <c r="C175">
        <f>C174/C168</f>
        <v>1.5347872340425532</v>
      </c>
    </row>
    <row r="177" spans="1:1" x14ac:dyDescent="0.2">
      <c r="A177" s="2" t="s">
        <v>124</v>
      </c>
    </row>
  </sheetData>
  <sortState xmlns:xlrd2="http://schemas.microsoft.com/office/spreadsheetml/2017/richdata2" ref="J77:J90">
    <sortCondition ref="J77:J90"/>
  </sortState>
  <printOptions gridLines="1" gridLinesSet="0"/>
  <pageMargins left="0.78740157499999996" right="0.78740157499999996" top="0.984251969" bottom="0.984251969" header="0.5" footer="0.5"/>
  <headerFooter alignWithMargins="0">
    <oddHeader>&amp;F</oddHeader>
    <oddFooter>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Kanadagans-Fanggesch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2024-09-11T21:41:29Z</dcterms:created>
  <dcterms:modified xsi:type="dcterms:W3CDTF">2025-10-26T15:31:40Z</dcterms:modified>
</cp:coreProperties>
</file>