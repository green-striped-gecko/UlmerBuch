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B7EDC406-242A-5B4D-BBCD-0F20B299A275}" xr6:coauthVersionLast="47" xr6:coauthVersionMax="47" xr10:uidLastSave="{00000000-0000-0000-0000-000000000000}"/>
  <bookViews>
    <workbookView xWindow="7340" yWindow="500" windowWidth="18920" windowHeight="15420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  <sheet name="Tabelle12" sheetId="12" r:id="rId12"/>
    <sheet name="Tabelle13" sheetId="13" r:id="rId13"/>
    <sheet name="Tabelle14" sheetId="14" r:id="rId14"/>
    <sheet name="Tabelle15" sheetId="15" r:id="rId15"/>
    <sheet name="Tabelle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L21" i="1" l="1"/>
  <c r="K21" i="1"/>
  <c r="J21" i="1"/>
  <c r="I21" i="1"/>
  <c r="H21" i="1"/>
  <c r="G21" i="1"/>
  <c r="K20" i="1"/>
  <c r="J20" i="1"/>
  <c r="I20" i="1"/>
  <c r="H20" i="1"/>
  <c r="G20" i="1"/>
  <c r="J19" i="1"/>
  <c r="I19" i="1"/>
  <c r="H19" i="1"/>
  <c r="G19" i="1"/>
  <c r="I18" i="1"/>
  <c r="H18" i="1"/>
  <c r="G18" i="1"/>
  <c r="H17" i="1"/>
  <c r="G17" i="1"/>
  <c r="G16" i="1"/>
  <c r="C22" i="1" l="1"/>
  <c r="D22" i="1" l="1"/>
  <c r="L22" i="1"/>
  <c r="G22" i="1"/>
  <c r="E21" i="1"/>
  <c r="F21" i="1"/>
  <c r="E16" i="1"/>
  <c r="F16" i="1"/>
  <c r="E17" i="1"/>
  <c r="F17" i="1"/>
  <c r="E18" i="1"/>
  <c r="F18" i="1"/>
  <c r="E19" i="1"/>
  <c r="F19" i="1"/>
  <c r="E20" i="1"/>
  <c r="F20" i="1"/>
  <c r="E15" i="1"/>
  <c r="J22" i="1" l="1"/>
  <c r="K22" i="1"/>
  <c r="I22" i="1"/>
  <c r="H22" i="1"/>
  <c r="F22" i="1"/>
  <c r="E22" i="1"/>
  <c r="A28" i="1" l="1"/>
  <c r="B28" i="1"/>
  <c r="G25" i="1"/>
  <c r="B31" i="1" l="1"/>
  <c r="B34" i="1"/>
  <c r="A31" i="1"/>
  <c r="A37" i="1" s="1"/>
  <c r="A34" i="1"/>
  <c r="B37" i="1"/>
</calcChain>
</file>

<file path=xl/sharedStrings.xml><?xml version="1.0" encoding="utf-8"?>
<sst xmlns="http://schemas.openxmlformats.org/spreadsheetml/2006/main" count="40" uniqueCount="34">
  <si>
    <t>i</t>
  </si>
  <si>
    <t>fi</t>
  </si>
  <si>
    <t>ni</t>
  </si>
  <si>
    <t>C1:</t>
  </si>
  <si>
    <t>C2</t>
  </si>
  <si>
    <t>N</t>
  </si>
  <si>
    <t>Summe(ni*nj)</t>
  </si>
  <si>
    <t>ui</t>
  </si>
  <si>
    <r>
      <t xml:space="preserve">Tab. 10.7, Beispiel 10.11, Schätzung der Populationsgröße des Geckos </t>
    </r>
    <r>
      <rPr>
        <b/>
        <i/>
        <sz val="11"/>
        <rFont val="Geneva"/>
        <family val="2"/>
      </rPr>
      <t>Gehyra variegata</t>
    </r>
    <r>
      <rPr>
        <b/>
        <sz val="11"/>
        <rFont val="Geneva"/>
        <family val="2"/>
      </rPr>
      <t xml:space="preserve"> mit der Sample Coverage für Modell Mht</t>
    </r>
  </si>
  <si>
    <t>Fangnacht</t>
  </si>
  <si>
    <t>Anzahl in der Fangnacht i gefangener Geckos</t>
  </si>
  <si>
    <t>Anzahl in der Fangnacht i erstmals gefangener Geckos</t>
  </si>
  <si>
    <t>Anzahl der genau i-mal gefangenen Geckos</t>
  </si>
  <si>
    <t>C1; C2</t>
  </si>
  <si>
    <t>geschätzte Sample Coverage der Fanggeschichten; 3 Alternativen existieren, von denen hier 2 berechnet werden</t>
  </si>
  <si>
    <t>Varianzkoeffizient der Fangwahrscheinlichkeit; ist ein Maß der individuellen Heterogenität der Fangwahrscheinlichkeit</t>
  </si>
  <si>
    <t>geschätzte Populationsgröße</t>
  </si>
  <si>
    <t>Die Schätzwerte sind ähnlich; bei mittlerer Heterogenität ist ersterer zu bevorzugen</t>
  </si>
  <si>
    <t>Datenquelle</t>
  </si>
  <si>
    <t>Parameterdefinitionen</t>
  </si>
  <si>
    <t>Grimm-Seyfarth, A., Mihoub, J.-B., Gruber, B., Henle, K. (2018b): Data from: Some like it hot: From individual to population responses of an arboreal arid-zone gecko to local and distant climate [Dataset]. – https://doi.org/10.5061/dryad.j0j2b70 (abgerufen am 19.4.2025)</t>
  </si>
  <si>
    <r>
      <t xml:space="preserve">Henle, K. (1990): Population ecology and life history of the arboreal gecko </t>
    </r>
    <r>
      <rPr>
        <i/>
        <sz val="12"/>
        <rFont val="Times New Roman"/>
        <family val="1"/>
      </rPr>
      <t>Gehyra variegata</t>
    </r>
    <r>
      <rPr>
        <sz val="12"/>
        <rFont val="Times New Roman"/>
        <family val="1"/>
      </rPr>
      <t xml:space="preserve"> in arid Australia. – Herpetological Monographs 4: 30–60</t>
    </r>
  </si>
  <si>
    <t>ni*n1</t>
  </si>
  <si>
    <t>ni*n2</t>
  </si>
  <si>
    <t>ni*n3</t>
  </si>
  <si>
    <t>ni*n4</t>
  </si>
  <si>
    <t>ni*n5</t>
  </si>
  <si>
    <t>ni*n6</t>
  </si>
  <si>
    <t>i*fi</t>
  </si>
  <si>
    <t>i*(i-1)*fi</t>
  </si>
  <si>
    <t>Summen</t>
  </si>
  <si>
    <t>g</t>
  </si>
  <si>
    <r>
      <t xml:space="preserve">g </t>
    </r>
    <r>
      <rPr>
        <sz val="10"/>
        <rFont val="Geneva"/>
        <family val="2"/>
      </rPr>
      <t>Quadrat</t>
    </r>
  </si>
  <si>
    <r>
      <rPr>
        <sz val="10"/>
        <rFont val="Geneva"/>
        <family val="2"/>
      </rPr>
      <t xml:space="preserve">Bei 0,4 ≤ </t>
    </r>
    <r>
      <rPr>
        <sz val="10"/>
        <rFont val="Symbol"/>
        <charset val="2"/>
      </rPr>
      <t>g</t>
    </r>
    <r>
      <rPr>
        <sz val="10"/>
        <rFont val="Geneva"/>
        <family val="2"/>
      </rPr>
      <t xml:space="preserve"> ≤ 0,8 spricht man von einer mittleren Heterogenität der Fangwahrscheinlichkeit. Ist Heterogenität vorhanden </t>
    </r>
    <r>
      <rPr>
        <sz val="10"/>
        <rFont val="Symbol"/>
        <charset val="2"/>
      </rPr>
      <t>g</t>
    </r>
    <r>
      <rPr>
        <sz val="10"/>
        <rFont val="Geneva"/>
        <family val="2"/>
      </rPr>
      <t xml:space="preserve"> ≥ 0, muss  </t>
    </r>
    <r>
      <rPr>
        <sz val="10"/>
        <rFont val="Symbol"/>
        <charset val="2"/>
      </rPr>
      <t>g</t>
    </r>
    <r>
      <rPr>
        <sz val="10"/>
        <rFont val="Geneva"/>
        <family val="2"/>
      </rPr>
      <t xml:space="preserve"> bei der Schätzung der Populationsgröße berücksichtigt werden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</si>
</sst>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Geneva"/>
    </font>
    <font>
      <b/>
      <sz val="11"/>
      <name val="Geneva"/>
      <family val="2"/>
    </font>
    <font>
      <sz val="10"/>
      <name val="Geneva"/>
      <family val="2"/>
    </font>
    <font>
      <b/>
      <i/>
      <sz val="11"/>
      <name val="Geneva"/>
      <family val="2"/>
    </font>
    <font>
      <sz val="11"/>
      <name val="Geneva"/>
      <family val="2"/>
    </font>
    <font>
      <sz val="10"/>
      <name val="Symbol"/>
      <charset val="2"/>
    </font>
    <font>
      <b/>
      <sz val="10"/>
      <name val="Geneva"/>
      <family val="2"/>
    </font>
    <font>
      <sz val="12"/>
      <name val="Times New Roman"/>
      <family val="1"/>
    </font>
    <font>
      <i/>
      <sz val="12"/>
      <name val="Times New Roman"/>
      <family val="1"/>
    </font>
    <font>
      <sz val="10"/>
      <name val="Geneva"/>
      <family val="2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/>
  </sheetViews>
  <sheetFormatPr baseColWidth="10" defaultRowHeight="14" x14ac:dyDescent="0.2"/>
  <sheetData>
    <row r="1" spans="1:12" ht="16" x14ac:dyDescent="0.25">
      <c r="A1" s="1" t="s">
        <v>8</v>
      </c>
    </row>
    <row r="2" spans="1:12" ht="17" x14ac:dyDescent="0.25">
      <c r="A2" s="3" t="s">
        <v>18</v>
      </c>
      <c r="B2" s="6" t="s">
        <v>20</v>
      </c>
    </row>
    <row r="3" spans="1:12" ht="17" x14ac:dyDescent="0.25">
      <c r="A3" s="3"/>
      <c r="B3" s="6" t="s">
        <v>21</v>
      </c>
    </row>
    <row r="4" spans="1:12" ht="16" x14ac:dyDescent="0.25">
      <c r="A4" s="1"/>
    </row>
    <row r="5" spans="1:12" x14ac:dyDescent="0.2">
      <c r="A5" s="5" t="s">
        <v>19</v>
      </c>
    </row>
    <row r="6" spans="1:12" x14ac:dyDescent="0.2">
      <c r="A6" s="2" t="s">
        <v>0</v>
      </c>
      <c r="B6" s="2" t="s">
        <v>9</v>
      </c>
    </row>
    <row r="7" spans="1:12" x14ac:dyDescent="0.2">
      <c r="A7" s="2" t="s">
        <v>2</v>
      </c>
      <c r="B7" s="2" t="s">
        <v>10</v>
      </c>
    </row>
    <row r="8" spans="1:12" x14ac:dyDescent="0.2">
      <c r="A8" s="2" t="s">
        <v>7</v>
      </c>
      <c r="B8" s="2" t="s">
        <v>11</v>
      </c>
    </row>
    <row r="9" spans="1:12" x14ac:dyDescent="0.2">
      <c r="A9" s="2" t="s">
        <v>1</v>
      </c>
      <c r="B9" s="2" t="s">
        <v>12</v>
      </c>
    </row>
    <row r="10" spans="1:12" x14ac:dyDescent="0.2">
      <c r="A10" s="2" t="s">
        <v>13</v>
      </c>
      <c r="B10" s="2" t="s">
        <v>14</v>
      </c>
    </row>
    <row r="11" spans="1:12" x14ac:dyDescent="0.2">
      <c r="A11" s="4" t="s">
        <v>31</v>
      </c>
      <c r="B11" s="2" t="s">
        <v>15</v>
      </c>
    </row>
    <row r="12" spans="1:12" x14ac:dyDescent="0.2">
      <c r="A12" s="2" t="s">
        <v>5</v>
      </c>
      <c r="B12" s="2" t="s">
        <v>16</v>
      </c>
    </row>
    <row r="14" spans="1:12" x14ac:dyDescent="0.2">
      <c r="A14" t="s">
        <v>0</v>
      </c>
      <c r="B14" t="s">
        <v>2</v>
      </c>
      <c r="C14" t="s">
        <v>7</v>
      </c>
      <c r="D14" t="s">
        <v>1</v>
      </c>
      <c r="E14" s="2" t="s">
        <v>28</v>
      </c>
      <c r="F14" s="2" t="s">
        <v>29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26</v>
      </c>
      <c r="L14" s="2" t="s">
        <v>27</v>
      </c>
    </row>
    <row r="15" spans="1:12" x14ac:dyDescent="0.2">
      <c r="A15">
        <v>1</v>
      </c>
      <c r="B15">
        <v>50</v>
      </c>
      <c r="C15">
        <v>50</v>
      </c>
      <c r="D15">
        <v>53</v>
      </c>
      <c r="E15">
        <f t="shared" ref="E15:E21" si="0">A15*D15</f>
        <v>53</v>
      </c>
    </row>
    <row r="16" spans="1:12" x14ac:dyDescent="0.2">
      <c r="A16">
        <v>2</v>
      </c>
      <c r="B16">
        <v>48</v>
      </c>
      <c r="C16">
        <v>29</v>
      </c>
      <c r="D16">
        <v>30</v>
      </c>
      <c r="E16">
        <f t="shared" si="0"/>
        <v>60</v>
      </c>
      <c r="F16">
        <f t="shared" ref="F16:F21" si="1">A16*A15*D16</f>
        <v>60</v>
      </c>
      <c r="G16">
        <f>B16*B15</f>
        <v>2400</v>
      </c>
    </row>
    <row r="17" spans="1:12" x14ac:dyDescent="0.2">
      <c r="A17">
        <v>3</v>
      </c>
      <c r="B17">
        <v>34</v>
      </c>
      <c r="C17">
        <v>12</v>
      </c>
      <c r="D17">
        <v>24</v>
      </c>
      <c r="E17">
        <f t="shared" si="0"/>
        <v>72</v>
      </c>
      <c r="F17">
        <f t="shared" si="1"/>
        <v>144</v>
      </c>
      <c r="G17">
        <f>B17*B15</f>
        <v>1700</v>
      </c>
      <c r="H17">
        <f>B17*B16</f>
        <v>1632</v>
      </c>
    </row>
    <row r="18" spans="1:12" x14ac:dyDescent="0.2">
      <c r="A18">
        <v>4</v>
      </c>
      <c r="B18">
        <v>59</v>
      </c>
      <c r="C18">
        <v>20</v>
      </c>
      <c r="D18">
        <v>16</v>
      </c>
      <c r="E18">
        <f t="shared" si="0"/>
        <v>64</v>
      </c>
      <c r="F18">
        <f t="shared" si="1"/>
        <v>192</v>
      </c>
      <c r="G18">
        <f>B18*B15</f>
        <v>2950</v>
      </c>
      <c r="H18">
        <f>B18*B16</f>
        <v>2832</v>
      </c>
      <c r="I18">
        <f>B18*B17</f>
        <v>2006</v>
      </c>
    </row>
    <row r="19" spans="1:12" x14ac:dyDescent="0.2">
      <c r="A19">
        <v>5</v>
      </c>
      <c r="B19">
        <v>30</v>
      </c>
      <c r="C19">
        <v>6</v>
      </c>
      <c r="D19">
        <v>6</v>
      </c>
      <c r="E19">
        <f t="shared" si="0"/>
        <v>30</v>
      </c>
      <c r="F19">
        <f t="shared" si="1"/>
        <v>120</v>
      </c>
      <c r="G19">
        <f>B19*B15</f>
        <v>1500</v>
      </c>
      <c r="H19">
        <f>B19*B16</f>
        <v>1440</v>
      </c>
      <c r="I19">
        <f>B19*B17</f>
        <v>1020</v>
      </c>
      <c r="J19">
        <f>B19*B18</f>
        <v>1770</v>
      </c>
    </row>
    <row r="20" spans="1:12" x14ac:dyDescent="0.2">
      <c r="A20">
        <v>6</v>
      </c>
      <c r="B20">
        <v>47</v>
      </c>
      <c r="C20">
        <v>8</v>
      </c>
      <c r="D20">
        <v>2</v>
      </c>
      <c r="E20">
        <f t="shared" si="0"/>
        <v>12</v>
      </c>
      <c r="F20">
        <f t="shared" si="1"/>
        <v>60</v>
      </c>
      <c r="G20">
        <f>B20*B15</f>
        <v>2350</v>
      </c>
      <c r="H20">
        <f>B20*B16</f>
        <v>2256</v>
      </c>
      <c r="I20">
        <f>B20*B17</f>
        <v>1598</v>
      </c>
      <c r="J20">
        <f>B20*B18</f>
        <v>2773</v>
      </c>
      <c r="K20">
        <f>B20*B19</f>
        <v>1410</v>
      </c>
    </row>
    <row r="21" spans="1:12" x14ac:dyDescent="0.2">
      <c r="A21">
        <v>7</v>
      </c>
      <c r="B21">
        <v>37</v>
      </c>
      <c r="C21">
        <v>8</v>
      </c>
      <c r="D21">
        <v>2</v>
      </c>
      <c r="E21">
        <f t="shared" si="0"/>
        <v>14</v>
      </c>
      <c r="F21">
        <f t="shared" si="1"/>
        <v>84</v>
      </c>
      <c r="G21">
        <f>B21*B15</f>
        <v>1850</v>
      </c>
      <c r="H21">
        <f>B21*B16</f>
        <v>1776</v>
      </c>
      <c r="I21">
        <f>B21*B17</f>
        <v>1258</v>
      </c>
      <c r="J21">
        <f>B21*B18</f>
        <v>2183</v>
      </c>
      <c r="K21">
        <f>B21*B19</f>
        <v>1110</v>
      </c>
      <c r="L21">
        <f>B21*B20</f>
        <v>1739</v>
      </c>
    </row>
    <row r="22" spans="1:12" x14ac:dyDescent="0.2">
      <c r="A22" s="2" t="s">
        <v>30</v>
      </c>
      <c r="B22">
        <f t="shared" ref="B22:L22" si="2">SUM(B15:B21)</f>
        <v>305</v>
      </c>
      <c r="C22">
        <f t="shared" si="2"/>
        <v>133</v>
      </c>
      <c r="D22">
        <f t="shared" si="2"/>
        <v>133</v>
      </c>
      <c r="E22">
        <f t="shared" si="2"/>
        <v>305</v>
      </c>
      <c r="F22">
        <f t="shared" si="2"/>
        <v>660</v>
      </c>
      <c r="G22">
        <f t="shared" si="2"/>
        <v>12750</v>
      </c>
      <c r="H22">
        <f t="shared" si="2"/>
        <v>9936</v>
      </c>
      <c r="I22">
        <f t="shared" si="2"/>
        <v>5882</v>
      </c>
      <c r="J22">
        <f t="shared" si="2"/>
        <v>6726</v>
      </c>
      <c r="K22">
        <f t="shared" si="2"/>
        <v>2520</v>
      </c>
      <c r="L22">
        <f t="shared" si="2"/>
        <v>1739</v>
      </c>
    </row>
    <row r="24" spans="1:12" x14ac:dyDescent="0.2">
      <c r="G24" t="s">
        <v>6</v>
      </c>
    </row>
    <row r="25" spans="1:12" x14ac:dyDescent="0.2">
      <c r="G25">
        <f>SUM(G22:L22)</f>
        <v>39553</v>
      </c>
    </row>
    <row r="27" spans="1:12" x14ac:dyDescent="0.2">
      <c r="A27" t="s">
        <v>3</v>
      </c>
      <c r="B27" t="s">
        <v>4</v>
      </c>
    </row>
    <row r="28" spans="1:12" x14ac:dyDescent="0.2">
      <c r="A28">
        <f>1-D15/E22</f>
        <v>0.82622950819672125</v>
      </c>
      <c r="B28">
        <f>1-(D15-2*D16/(A21-1))/E22</f>
        <v>0.85901639344262293</v>
      </c>
    </row>
    <row r="30" spans="1:12" x14ac:dyDescent="0.2">
      <c r="A30" s="4" t="s">
        <v>32</v>
      </c>
    </row>
    <row r="31" spans="1:12" x14ac:dyDescent="0.2">
      <c r="A31">
        <f>(C22/A28)*(F22/(2*G25))-1</f>
        <v>0.34302918446978325</v>
      </c>
      <c r="B31">
        <f>C22/B28*(F22/(2*G25))-1</f>
        <v>0.29176852857398972</v>
      </c>
    </row>
    <row r="33" spans="1:4" x14ac:dyDescent="0.2">
      <c r="A33" s="4" t="s">
        <v>31</v>
      </c>
    </row>
    <row r="34" spans="1:4" x14ac:dyDescent="0.2">
      <c r="A34">
        <f>A31^0.5</f>
        <v>0.58568693383904613</v>
      </c>
      <c r="B34">
        <f>B31^0.5</f>
        <v>0.54015602243610106</v>
      </c>
      <c r="C34" s="7" t="s">
        <v>33</v>
      </c>
    </row>
    <row r="36" spans="1:4" x14ac:dyDescent="0.2">
      <c r="A36" t="s">
        <v>5</v>
      </c>
    </row>
    <row r="37" spans="1:4" x14ac:dyDescent="0.2">
      <c r="A37">
        <f>C22/A28+D15/A28*A31</f>
        <v>182.97645542442083</v>
      </c>
      <c r="B37">
        <f>D22/B28+D15/B28*B31</f>
        <v>172.82991703968909</v>
      </c>
      <c r="D37" s="2" t="s">
        <v>17</v>
      </c>
    </row>
  </sheetData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  <vt:lpstr>Tabelle14</vt:lpstr>
      <vt:lpstr>Tabelle15</vt:lpstr>
      <vt:lpstr>Tabelle16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2024-02-08T17:23:50Z</dcterms:created>
  <dcterms:modified xsi:type="dcterms:W3CDTF">2025-10-26T11:46:02Z</dcterms:modified>
</cp:coreProperties>
</file>