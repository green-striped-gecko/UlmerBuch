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DE8E232B-9892-864A-95D8-F04FCF2A3AA0}" xr6:coauthVersionLast="47" xr6:coauthVersionMax="47" xr10:uidLastSave="{00000000-0000-0000-0000-000000000000}"/>
  <bookViews>
    <workbookView xWindow="3020" yWindow="500" windowWidth="27440" windowHeight="15180" xr2:uid="{A89EC9D0-495D-D246-97D1-4962DB6835E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2" i="1"/>
  <c r="C13" i="1"/>
  <c r="C14" i="1" s="1"/>
  <c r="C15" i="1" s="1"/>
  <c r="C16" i="1" s="1"/>
  <c r="C17" i="1" s="1"/>
  <c r="C12" i="1"/>
</calcChain>
</file>

<file path=xl/sharedStrings.xml><?xml version="1.0" encoding="utf-8"?>
<sst xmlns="http://schemas.openxmlformats.org/spreadsheetml/2006/main" count="22" uniqueCount="19">
  <si>
    <t>Mt+1</t>
  </si>
  <si>
    <t>i</t>
  </si>
  <si>
    <t>Tab. 6.8, Beispiel 6.10: Schätzung der Populationsgröße von Mauereidechsen (Podarcis muralis) mit der Sample Coverage</t>
  </si>
  <si>
    <t>Datenquelle</t>
  </si>
  <si>
    <t>unveröffentlichte Daten von Carolin Bender und Klaus Henle</t>
  </si>
  <si>
    <t xml:space="preserve">Fangtag </t>
  </si>
  <si>
    <t>ui</t>
  </si>
  <si>
    <t>Neufänge am Tag i</t>
  </si>
  <si>
    <t>Mi</t>
  </si>
  <si>
    <t>Anzahl vor dem Fangtag i bereits markierte Individuen</t>
  </si>
  <si>
    <t>Nk</t>
  </si>
  <si>
    <t>geschätzte Populationsgröße unter Berücksichtigung der Fanggelegenheiten bis inklusive k</t>
  </si>
  <si>
    <t>y</t>
  </si>
  <si>
    <t>Index der Stärke der individuellen Heterogenität der Fangwahrscheinlichkeit</t>
  </si>
  <si>
    <r>
      <rPr>
        <sz val="12"/>
        <color theme="1"/>
        <rFont val="Symbol"/>
        <charset val="2"/>
      </rPr>
      <t>y</t>
    </r>
    <r>
      <rPr>
        <sz val="12"/>
        <color theme="1"/>
        <rFont val="Calibri"/>
        <family val="2"/>
        <scheme val="minor"/>
      </rPr>
      <t xml:space="preserve"> k</t>
    </r>
  </si>
  <si>
    <t>Da die Anzahl Neufänge bei der letzten Fanggelegenheit kleiner ist als bei der ersten</t>
  </si>
  <si>
    <t>Dies bedeutet, dass keine individuelle Heterogenität der Fangwahrscheinlichkeit vorhanden war</t>
  </si>
  <si>
    <r>
      <t xml:space="preserve">Wenn  </t>
    </r>
    <r>
      <rPr>
        <sz val="12"/>
        <color theme="1"/>
        <rFont val="Symbol"/>
        <charset val="2"/>
      </rPr>
      <t>y</t>
    </r>
    <r>
      <rPr>
        <sz val="12"/>
        <color theme="1"/>
        <rFont val="Calibri"/>
        <family val="2"/>
        <scheme val="minor"/>
      </rPr>
      <t xml:space="preserve">&lt;0, dann wird </t>
    </r>
    <r>
      <rPr>
        <sz val="12"/>
        <color theme="1"/>
        <rFont val="Symbol"/>
        <charset val="2"/>
      </rPr>
      <t>y</t>
    </r>
    <r>
      <rPr>
        <sz val="12"/>
        <color theme="1"/>
        <rFont val="Calibri"/>
        <family val="2"/>
        <scheme val="minor"/>
      </rPr>
      <t>=0 gesetzt</t>
    </r>
  </si>
  <si>
    <t>können zur Schätzung der Populationsgröße alle t = 6 Fanggelegenheiten verwendet werden, damit ist k=5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</si>
</sst>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Symbol"/>
      <charset val="2"/>
    </font>
    <font>
      <sz val="12"/>
      <color theme="1"/>
      <name val="Calibri"/>
      <family val="2"/>
      <charset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C86B-FDBF-3C44-BD3B-FC11E1A9AFDA}">
  <dimension ref="A1:Q27"/>
  <sheetViews>
    <sheetView tabSelected="1" topLeftCell="A3" zoomScale="123" zoomScaleNormal="123" workbookViewId="0">
      <selection activeCell="B28" sqref="B28"/>
    </sheetView>
  </sheetViews>
  <sheetFormatPr baseColWidth="10" defaultRowHeight="16" x14ac:dyDescent="0.2"/>
  <cols>
    <col min="2" max="17" width="10.83203125" style="4"/>
  </cols>
  <sheetData>
    <row r="1" spans="1:17" s="3" customFormat="1" ht="18" x14ac:dyDescent="0.2">
      <c r="A1" s="2" t="s">
        <v>2</v>
      </c>
    </row>
    <row r="2" spans="1:17" s="1" customFormat="1" x14ac:dyDescent="0.2">
      <c r="A2" s="4" t="s">
        <v>3</v>
      </c>
      <c r="B2" s="4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s="1" customFormat="1" x14ac:dyDescent="0.2">
      <c r="A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s="1" customFormat="1" x14ac:dyDescent="0.2">
      <c r="A4" s="4" t="s">
        <v>1</v>
      </c>
      <c r="B4" s="6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s="1" customFormat="1" x14ac:dyDescent="0.2">
      <c r="A5" s="4" t="s">
        <v>8</v>
      </c>
      <c r="B5" s="6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s="1" customFormat="1" x14ac:dyDescent="0.2">
      <c r="A6" s="6" t="s">
        <v>6</v>
      </c>
      <c r="B6" s="6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1" customFormat="1" x14ac:dyDescent="0.2">
      <c r="A7" s="4" t="s">
        <v>10</v>
      </c>
      <c r="B7" s="6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s="1" customFormat="1" x14ac:dyDescent="0.2">
      <c r="A8" s="7" t="s">
        <v>14</v>
      </c>
      <c r="B8" s="6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10" spans="1:17" x14ac:dyDescent="0.2">
      <c r="A10" t="s">
        <v>1</v>
      </c>
      <c r="B10" s="4" t="s">
        <v>6</v>
      </c>
      <c r="C10" s="4" t="s">
        <v>0</v>
      </c>
      <c r="D10"/>
      <c r="E10"/>
      <c r="F10"/>
      <c r="G10"/>
      <c r="H10"/>
      <c r="I10"/>
      <c r="J10"/>
      <c r="K10"/>
      <c r="L10"/>
      <c r="M10"/>
      <c r="N10"/>
    </row>
    <row r="11" spans="1:17" x14ac:dyDescent="0.2">
      <c r="A11" s="4">
        <v>1</v>
      </c>
      <c r="B11" s="5">
        <v>35</v>
      </c>
      <c r="C11" s="4">
        <v>0</v>
      </c>
      <c r="D11"/>
      <c r="E11"/>
      <c r="F11"/>
      <c r="G11"/>
      <c r="H11"/>
      <c r="I11"/>
      <c r="J11"/>
      <c r="K11"/>
      <c r="L11"/>
      <c r="M11"/>
      <c r="N11"/>
    </row>
    <row r="12" spans="1:17" x14ac:dyDescent="0.2">
      <c r="A12" s="4">
        <v>2</v>
      </c>
      <c r="B12" s="5">
        <v>28</v>
      </c>
      <c r="C12" s="4">
        <f>B11</f>
        <v>35</v>
      </c>
      <c r="D12"/>
      <c r="E12"/>
      <c r="F12"/>
      <c r="G12"/>
      <c r="H12"/>
      <c r="I12"/>
      <c r="J12"/>
      <c r="K12"/>
      <c r="L12"/>
      <c r="M12"/>
      <c r="N12"/>
    </row>
    <row r="13" spans="1:17" x14ac:dyDescent="0.2">
      <c r="A13" s="4">
        <v>3</v>
      </c>
      <c r="B13" s="5">
        <v>11</v>
      </c>
      <c r="C13" s="4">
        <f>C12+B12</f>
        <v>63</v>
      </c>
      <c r="D13"/>
      <c r="E13"/>
      <c r="F13"/>
      <c r="G13"/>
      <c r="H13"/>
    </row>
    <row r="14" spans="1:17" x14ac:dyDescent="0.2">
      <c r="A14" s="4">
        <v>4</v>
      </c>
      <c r="B14" s="5">
        <v>19</v>
      </c>
      <c r="C14" s="4">
        <f t="shared" ref="C14:C17" si="0">C13+B13</f>
        <v>74</v>
      </c>
      <c r="D14"/>
      <c r="E14"/>
      <c r="F14"/>
      <c r="G14"/>
      <c r="H14"/>
    </row>
    <row r="15" spans="1:17" x14ac:dyDescent="0.2">
      <c r="A15" s="4">
        <v>5</v>
      </c>
      <c r="B15" s="5">
        <v>15</v>
      </c>
      <c r="C15" s="4">
        <f t="shared" si="0"/>
        <v>93</v>
      </c>
      <c r="D15"/>
      <c r="E15"/>
      <c r="F15"/>
      <c r="G15"/>
      <c r="H15"/>
    </row>
    <row r="16" spans="1:17" x14ac:dyDescent="0.2">
      <c r="A16" s="4">
        <v>6</v>
      </c>
      <c r="B16" s="5">
        <v>11</v>
      </c>
      <c r="C16" s="4">
        <f t="shared" si="0"/>
        <v>108</v>
      </c>
      <c r="D16"/>
      <c r="E16"/>
      <c r="F16"/>
      <c r="G16"/>
      <c r="H16"/>
    </row>
    <row r="17" spans="1:3" x14ac:dyDescent="0.2">
      <c r="C17" s="4">
        <f t="shared" si="0"/>
        <v>119</v>
      </c>
    </row>
    <row r="19" spans="1:3" x14ac:dyDescent="0.2">
      <c r="A19" s="8" t="s">
        <v>15</v>
      </c>
    </row>
    <row r="20" spans="1:3" x14ac:dyDescent="0.2">
      <c r="A20" t="s">
        <v>18</v>
      </c>
    </row>
    <row r="22" spans="1:3" x14ac:dyDescent="0.2">
      <c r="A22" s="9" t="s">
        <v>12</v>
      </c>
      <c r="B22" s="4">
        <f>C17*(B11-B12)/((1-B16/B11)*B11^2)-1</f>
        <v>-8.3333333333333037E-3</v>
      </c>
    </row>
    <row r="24" spans="1:3" x14ac:dyDescent="0.2">
      <c r="A24" t="s">
        <v>17</v>
      </c>
    </row>
    <row r="25" spans="1:3" x14ac:dyDescent="0.2">
      <c r="A25" t="s">
        <v>16</v>
      </c>
    </row>
    <row r="27" spans="1:3" x14ac:dyDescent="0.2">
      <c r="A27" t="s">
        <v>10</v>
      </c>
      <c r="B27" s="4">
        <f>C17/(1-B16/B11)</f>
        <v>173.54166666666666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2024-03-31T16:26:34Z</dcterms:created>
  <dcterms:modified xsi:type="dcterms:W3CDTF">2025-10-23T13:41:28Z</dcterms:modified>
</cp:coreProperties>
</file>