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4639EE22-2329-9A42-B05E-9200923C47B4}" xr6:coauthVersionLast="47" xr6:coauthVersionMax="47" xr10:uidLastSave="{00000000-0000-0000-0000-000000000000}"/>
  <bookViews>
    <workbookView xWindow="2880" yWindow="1980" windowWidth="17080" windowHeight="11220" tabRatio="500" xr2:uid="{00000000-000D-0000-FFFF-FFFF00000000}"/>
  </bookViews>
  <sheets>
    <sheet name="Graug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B32" i="1"/>
  <c r="D26" i="1"/>
  <c r="E26" i="1"/>
  <c r="E27" i="1" s="1"/>
  <c r="F26" i="1"/>
  <c r="F27" i="1" s="1"/>
  <c r="F28" i="1" s="1"/>
  <c r="G28" i="1" s="1"/>
  <c r="E35" i="1" s="1"/>
  <c r="C26" i="1"/>
  <c r="D22" i="1"/>
  <c r="C34" i="1" s="1"/>
  <c r="E22" i="1"/>
  <c r="D34" i="1" s="1"/>
  <c r="F22" i="1"/>
  <c r="E34" i="1" s="1"/>
  <c r="C22" i="1"/>
  <c r="B34" i="1" s="1"/>
  <c r="G21" i="1"/>
  <c r="D33" i="1" s="1"/>
  <c r="G20" i="1"/>
  <c r="C33" i="1" s="1"/>
  <c r="G19" i="1"/>
  <c r="B33" i="1" s="1"/>
  <c r="B43" i="1" l="1"/>
  <c r="G27" i="1"/>
  <c r="D35" i="1" s="1"/>
  <c r="E28" i="1"/>
  <c r="G26" i="1"/>
  <c r="D27" i="1"/>
  <c r="C35" i="1" l="1"/>
  <c r="B40" i="1" l="1"/>
  <c r="B44" i="1" s="1"/>
  <c r="C43" i="1"/>
  <c r="B41" i="1"/>
  <c r="B42" i="1" s="1"/>
  <c r="C40" i="1"/>
  <c r="C41" i="1" s="1"/>
  <c r="C42" i="1" s="1"/>
  <c r="C44" i="1" l="1"/>
  <c r="B45" i="1"/>
  <c r="B46" i="1" s="1"/>
  <c r="B48" i="1" s="1"/>
  <c r="B47" i="1" l="1"/>
  <c r="C45" i="1"/>
  <c r="C46" i="1" s="1"/>
  <c r="C48" i="1" s="1"/>
  <c r="C47" i="1" l="1"/>
</calcChain>
</file>

<file path=xl/sharedStrings.xml><?xml version="1.0" encoding="utf-8"?>
<sst xmlns="http://schemas.openxmlformats.org/spreadsheetml/2006/main" count="53" uniqueCount="44">
  <si>
    <t>Jahr 1</t>
  </si>
  <si>
    <t>Jahr 2</t>
  </si>
  <si>
    <t>ri</t>
  </si>
  <si>
    <r>
      <t>m</t>
    </r>
    <r>
      <rPr>
        <i/>
        <vertAlign val="subscript"/>
        <sz val="11"/>
        <rFont val="Arial"/>
        <family val="2"/>
      </rPr>
      <t>j</t>
    </r>
  </si>
  <si>
    <t>Jahr i</t>
  </si>
  <si>
    <t>Ri</t>
  </si>
  <si>
    <t>Parameterdefinitionen</t>
  </si>
  <si>
    <t>Datenquelle</t>
  </si>
  <si>
    <t>Boyd, H. (1956): Statistics of the British population of the pink-footed goose. – Journal of Animal Ecology 25: 253–273</t>
  </si>
  <si>
    <t>mi</t>
  </si>
  <si>
    <t>mj</t>
  </si>
  <si>
    <t>zi</t>
  </si>
  <si>
    <r>
      <t xml:space="preserve">Anzahl der in der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-ten Fangperiode beringten Gänse, die in oder nach Fangperiode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rückgemeldet wurden</t>
    </r>
  </si>
  <si>
    <r>
      <t xml:space="preserve">Anzahl Ringe, die in der Fangperiode </t>
    </r>
    <r>
      <rPr>
        <i/>
        <sz val="12"/>
        <rFont val="Times New Roman"/>
        <family val="1"/>
      </rPr>
      <t>j</t>
    </r>
    <r>
      <rPr>
        <sz val="12"/>
        <rFont val="Times New Roman"/>
        <family val="1"/>
      </rPr>
      <t xml:space="preserve"> rückgemeldet wurden</t>
    </r>
  </si>
  <si>
    <r>
      <t xml:space="preserve">Anzahl Gänse, die vor der Fangperiode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beringt, aber nach </t>
    </r>
    <r>
      <rPr>
        <i/>
        <sz val="12"/>
        <rFont val="Times New Roman"/>
        <family val="1"/>
      </rPr>
      <t xml:space="preserve">i </t>
    </r>
    <r>
      <rPr>
        <sz val="12"/>
        <rFont val="Times New Roman"/>
        <family val="1"/>
      </rPr>
      <t xml:space="preserve">rückgemeldet wurden (d. h. während der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>-ten Fangperiode noch lebten)</t>
    </r>
  </si>
  <si>
    <r>
      <t>f</t>
    </r>
    <r>
      <rPr>
        <i/>
        <sz val="12"/>
        <rFont val="Times New Roman"/>
        <family val="1"/>
      </rPr>
      <t>i</t>
    </r>
    <r>
      <rPr>
        <sz val="11"/>
        <rFont val="Calibri"/>
        <family val="2"/>
      </rPr>
      <t xml:space="preserve"> </t>
    </r>
  </si>
  <si>
    <r>
      <t xml:space="preserve">Überlebensrate vom Jahr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zum Jahr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 + 1 </t>
    </r>
  </si>
  <si>
    <r>
      <t>b</t>
    </r>
    <r>
      <rPr>
        <i/>
        <sz val="12"/>
        <rFont val="Times New Roman"/>
        <family val="1"/>
      </rPr>
      <t>i</t>
    </r>
  </si>
  <si>
    <r>
      <t xml:space="preserve">Wahrscheinlichkeit, dass ein Ring im Jahr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von einem zu Beginn des Jahres noch lebenden Tier rückgemeldet wird</t>
    </r>
  </si>
  <si>
    <r>
      <t>l</t>
    </r>
    <r>
      <rPr>
        <i/>
        <sz val="12"/>
        <rFont val="Times New Roman"/>
        <family val="1"/>
      </rPr>
      <t>i</t>
    </r>
  </si>
  <si>
    <r>
      <t xml:space="preserve">Wahrscheinlichkeit, dass eine im Jahr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sterbende Gans (unabhängig ob durch Jagd oder natürliche Ursachen) gefunden und im Jahr </t>
    </r>
    <r>
      <rPr>
        <i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rückgemeldet wird</t>
    </r>
  </si>
  <si>
    <t>Rückmeldestatistiken</t>
  </si>
  <si>
    <t>Rückmeldejahr j</t>
  </si>
  <si>
    <t>Schätzung der Überlebens- und Rückmelderaten</t>
  </si>
  <si>
    <t>Zi+1</t>
  </si>
  <si>
    <t>i</t>
  </si>
  <si>
    <t>Fangstatistiken</t>
  </si>
  <si>
    <t>Zi</t>
  </si>
  <si>
    <r>
      <t xml:space="preserve">Überlebensrate </t>
    </r>
    <r>
      <rPr>
        <sz val="10"/>
        <rFont val="Symbol"/>
        <charset val="2"/>
      </rPr>
      <t>f</t>
    </r>
    <r>
      <rPr>
        <sz val="10"/>
        <rFont val="Geneva"/>
        <family val="2"/>
      </rPr>
      <t xml:space="preserve">i </t>
    </r>
  </si>
  <si>
    <r>
      <t xml:space="preserve">Var ( </t>
    </r>
    <r>
      <rPr>
        <sz val="10"/>
        <rFont val="Symbol"/>
        <charset val="2"/>
      </rPr>
      <t>f</t>
    </r>
    <r>
      <rPr>
        <sz val="10"/>
        <rFont val="Geneva"/>
        <family val="2"/>
      </rPr>
      <t>i )</t>
    </r>
  </si>
  <si>
    <r>
      <t>Var (</t>
    </r>
    <r>
      <rPr>
        <sz val="10"/>
        <rFont val="Symbol"/>
        <charset val="2"/>
      </rPr>
      <t>l</t>
    </r>
    <r>
      <rPr>
        <sz val="10"/>
        <rFont val="Geneva"/>
        <family val="2"/>
      </rPr>
      <t>i )</t>
    </r>
  </si>
  <si>
    <t>Tab. 11.21 und Tab. 11.22 Ringfundanalyse von Kurzschnabelgänse mit Korrekturfaktor für Überlebensrate</t>
  </si>
  <si>
    <r>
      <t xml:space="preserve">Anzahl der zu Beginn der Fangperiode </t>
    </r>
    <r>
      <rPr>
        <i/>
        <sz val="12"/>
        <rFont val="Times New Roman"/>
        <family val="1"/>
      </rPr>
      <t xml:space="preserve">i </t>
    </r>
    <r>
      <rPr>
        <sz val="12"/>
        <rFont val="Times New Roman"/>
        <family val="1"/>
      </rPr>
      <t>beringt freigelassenen Gänse</t>
    </r>
  </si>
  <si>
    <t xml:space="preserve">und der anderen Rundungen etwas von den Werten in Seber (1982) sowie teilweise von der Tabelle im Buch ab. </t>
  </si>
  <si>
    <t xml:space="preserve">Die Schätzerte weichen aufgrund des verwendeten Korrekturfaktors für die geschätzte Überlebensrate </t>
  </si>
  <si>
    <t>Laufparameter für das Beringungsjahr</t>
  </si>
  <si>
    <t>j</t>
  </si>
  <si>
    <t>Ringrückmeldejahr</t>
  </si>
  <si>
    <r>
      <t xml:space="preserve">s.e. ( </t>
    </r>
    <r>
      <rPr>
        <sz val="10"/>
        <rFont val="Symbol"/>
        <charset val="2"/>
      </rPr>
      <t>f</t>
    </r>
    <r>
      <rPr>
        <sz val="10"/>
        <rFont val="Geneva"/>
        <family val="2"/>
      </rPr>
      <t>i )</t>
    </r>
  </si>
  <si>
    <r>
      <t>s.e. (</t>
    </r>
    <r>
      <rPr>
        <sz val="10"/>
        <rFont val="Symbol"/>
        <charset val="2"/>
      </rPr>
      <t>l</t>
    </r>
    <r>
      <rPr>
        <sz val="10"/>
        <rFont val="Geneva"/>
        <family val="2"/>
      </rPr>
      <t>i )</t>
    </r>
  </si>
  <si>
    <r>
      <t xml:space="preserve">95%-CI oben für </t>
    </r>
    <r>
      <rPr>
        <sz val="10"/>
        <rFont val="Symbol"/>
        <charset val="2"/>
      </rPr>
      <t>l</t>
    </r>
    <r>
      <rPr>
        <sz val="10"/>
        <rFont val="Geneva"/>
        <family val="2"/>
      </rPr>
      <t>i</t>
    </r>
  </si>
  <si>
    <r>
      <t xml:space="preserve">95%-CI unten für </t>
    </r>
    <r>
      <rPr>
        <sz val="10"/>
        <rFont val="Symbol"/>
        <charset val="2"/>
      </rPr>
      <t>l</t>
    </r>
    <r>
      <rPr>
        <sz val="10"/>
        <rFont val="Geneva"/>
        <family val="2"/>
      </rPr>
      <t>i</t>
    </r>
  </si>
  <si>
    <t>CI</t>
  </si>
  <si>
    <t>Vertrauensintervall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</si>
</sst>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Geneva"/>
    </font>
    <font>
      <sz val="10"/>
      <name val="Geneva"/>
      <family val="2"/>
    </font>
    <font>
      <sz val="11"/>
      <name val="Arial"/>
      <family val="2"/>
    </font>
    <font>
      <i/>
      <sz val="11"/>
      <name val="Arial"/>
      <family val="2"/>
    </font>
    <font>
      <i/>
      <vertAlign val="subscript"/>
      <sz val="11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i/>
      <sz val="12"/>
      <name val="Symbol"/>
      <charset val="2"/>
    </font>
    <font>
      <sz val="11"/>
      <name val="Calibri"/>
      <family val="2"/>
    </font>
    <font>
      <b/>
      <sz val="12"/>
      <name val="Arial"/>
      <family val="2"/>
    </font>
    <font>
      <b/>
      <sz val="10"/>
      <name val="Geneva"/>
      <family val="2"/>
    </font>
    <font>
      <sz val="11"/>
      <color rgb="FF0070C0"/>
      <name val="Arial"/>
      <family val="2"/>
    </font>
    <font>
      <sz val="8"/>
      <name val="Times New Roman"/>
      <family val="1"/>
    </font>
    <font>
      <sz val="10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1" workbookViewId="0">
      <selection activeCell="A5" sqref="A5"/>
    </sheetView>
  </sheetViews>
  <sheetFormatPr baseColWidth="10" defaultRowHeight="14" x14ac:dyDescent="0.2"/>
  <cols>
    <col min="1" max="1" width="16" customWidth="1"/>
    <col min="2" max="2" width="15.42578125" customWidth="1"/>
    <col min="3" max="3" width="24" customWidth="1"/>
    <col min="4" max="4" width="20.42578125" customWidth="1"/>
  </cols>
  <sheetData>
    <row r="1" spans="1:2" x14ac:dyDescent="0.2">
      <c r="A1" s="7" t="s">
        <v>31</v>
      </c>
    </row>
    <row r="2" spans="1:2" ht="16" x14ac:dyDescent="0.2">
      <c r="A2" s="1" t="s">
        <v>7</v>
      </c>
      <c r="B2" s="4" t="s">
        <v>8</v>
      </c>
    </row>
    <row r="3" spans="1:2" ht="16" x14ac:dyDescent="0.2">
      <c r="A3" s="1"/>
      <c r="B3" s="4"/>
    </row>
    <row r="4" spans="1:2" x14ac:dyDescent="0.2">
      <c r="A4" s="7" t="s">
        <v>6</v>
      </c>
    </row>
    <row r="5" spans="1:2" x14ac:dyDescent="0.2">
      <c r="A5" s="1" t="s">
        <v>42</v>
      </c>
      <c r="B5" s="1" t="s">
        <v>43</v>
      </c>
    </row>
    <row r="6" spans="1:2" x14ac:dyDescent="0.2">
      <c r="A6" s="1" t="s">
        <v>25</v>
      </c>
      <c r="B6" s="1" t="s">
        <v>35</v>
      </c>
    </row>
    <row r="7" spans="1:2" x14ac:dyDescent="0.2">
      <c r="A7" s="1" t="s">
        <v>36</v>
      </c>
      <c r="B7" s="1" t="s">
        <v>37</v>
      </c>
    </row>
    <row r="8" spans="1:2" ht="16" x14ac:dyDescent="0.2">
      <c r="A8" s="1" t="s">
        <v>5</v>
      </c>
      <c r="B8" s="4" t="s">
        <v>32</v>
      </c>
    </row>
    <row r="9" spans="1:2" ht="16" x14ac:dyDescent="0.2">
      <c r="A9" s="1" t="s">
        <v>2</v>
      </c>
      <c r="B9" s="4" t="s">
        <v>12</v>
      </c>
    </row>
    <row r="10" spans="1:2" ht="16" x14ac:dyDescent="0.2">
      <c r="A10" s="1" t="s">
        <v>10</v>
      </c>
      <c r="B10" s="4" t="s">
        <v>13</v>
      </c>
    </row>
    <row r="11" spans="1:2" ht="16" x14ac:dyDescent="0.2">
      <c r="A11" s="1" t="s">
        <v>11</v>
      </c>
      <c r="B11" s="4" t="s">
        <v>14</v>
      </c>
    </row>
    <row r="12" spans="1:2" ht="16" x14ac:dyDescent="0.2">
      <c r="A12" s="5" t="s">
        <v>17</v>
      </c>
      <c r="B12" s="4" t="s">
        <v>18</v>
      </c>
    </row>
    <row r="13" spans="1:2" ht="16" x14ac:dyDescent="0.2">
      <c r="A13" s="5" t="s">
        <v>15</v>
      </c>
      <c r="B13" s="4" t="s">
        <v>16</v>
      </c>
    </row>
    <row r="14" spans="1:2" ht="16" x14ac:dyDescent="0.2">
      <c r="A14" s="5" t="s">
        <v>19</v>
      </c>
      <c r="B14" s="4" t="s">
        <v>20</v>
      </c>
    </row>
    <row r="15" spans="1:2" ht="16" x14ac:dyDescent="0.2">
      <c r="A15" s="5"/>
      <c r="B15" s="4"/>
    </row>
    <row r="16" spans="1:2" ht="16" x14ac:dyDescent="0.2">
      <c r="A16" s="6" t="s">
        <v>21</v>
      </c>
      <c r="B16" s="4"/>
    </row>
    <row r="17" spans="1:8" x14ac:dyDescent="0.2">
      <c r="D17" s="1" t="s">
        <v>22</v>
      </c>
    </row>
    <row r="18" spans="1:8" x14ac:dyDescent="0.2">
      <c r="A18" s="1" t="s">
        <v>4</v>
      </c>
      <c r="B18" s="1" t="s">
        <v>5</v>
      </c>
      <c r="C18">
        <v>1</v>
      </c>
      <c r="D18">
        <v>2</v>
      </c>
      <c r="E18">
        <v>3</v>
      </c>
      <c r="F18">
        <v>4</v>
      </c>
      <c r="G18" s="1" t="s">
        <v>2</v>
      </c>
    </row>
    <row r="19" spans="1:8" ht="15" customHeight="1" x14ac:dyDescent="0.2">
      <c r="A19" s="2">
        <v>1</v>
      </c>
      <c r="B19" s="2">
        <v>301</v>
      </c>
      <c r="C19" s="2">
        <v>32</v>
      </c>
      <c r="D19" s="2">
        <v>22</v>
      </c>
      <c r="E19" s="2">
        <v>16</v>
      </c>
      <c r="F19" s="2">
        <v>7</v>
      </c>
      <c r="G19" s="2">
        <f>C19+D19+E19+F19</f>
        <v>77</v>
      </c>
    </row>
    <row r="20" spans="1:8" x14ac:dyDescent="0.2">
      <c r="A20" s="2">
        <v>2</v>
      </c>
      <c r="B20" s="2">
        <v>766</v>
      </c>
      <c r="C20" s="2"/>
      <c r="D20" s="2">
        <v>70</v>
      </c>
      <c r="E20" s="2">
        <v>50</v>
      </c>
      <c r="F20" s="2">
        <v>9</v>
      </c>
      <c r="G20" s="2">
        <f>D20+E20+F20</f>
        <v>129</v>
      </c>
    </row>
    <row r="21" spans="1:8" x14ac:dyDescent="0.2">
      <c r="A21" s="2">
        <v>3</v>
      </c>
      <c r="B21" s="2">
        <v>897</v>
      </c>
      <c r="C21" s="2"/>
      <c r="D21" s="2"/>
      <c r="E21" s="2">
        <v>52</v>
      </c>
      <c r="F21" s="2">
        <v>29</v>
      </c>
      <c r="G21" s="2">
        <f>E21+F21</f>
        <v>81</v>
      </c>
    </row>
    <row r="22" spans="1:8" ht="17" x14ac:dyDescent="0.2">
      <c r="A22" s="2"/>
      <c r="B22" s="3" t="s">
        <v>3</v>
      </c>
      <c r="C22" s="2">
        <f>SUM(C19:C21)</f>
        <v>32</v>
      </c>
      <c r="D22" s="2">
        <f t="shared" ref="D22:F22" si="0">SUM(D19:D21)</f>
        <v>92</v>
      </c>
      <c r="E22" s="2">
        <f t="shared" si="0"/>
        <v>118</v>
      </c>
      <c r="F22" s="2">
        <f t="shared" si="0"/>
        <v>45</v>
      </c>
      <c r="G22" s="2"/>
    </row>
    <row r="24" spans="1:8" x14ac:dyDescent="0.2">
      <c r="D24" s="1" t="s">
        <v>22</v>
      </c>
      <c r="H24" s="1"/>
    </row>
    <row r="25" spans="1:8" x14ac:dyDescent="0.2">
      <c r="A25" s="1" t="s">
        <v>4</v>
      </c>
      <c r="C25">
        <v>1</v>
      </c>
      <c r="D25">
        <v>2</v>
      </c>
      <c r="E25">
        <v>3</v>
      </c>
      <c r="F25">
        <v>4</v>
      </c>
      <c r="G25" s="1" t="s">
        <v>24</v>
      </c>
      <c r="H25" s="1"/>
    </row>
    <row r="26" spans="1:8" x14ac:dyDescent="0.2">
      <c r="A26" s="2">
        <v>1</v>
      </c>
      <c r="C26" s="8">
        <f>C19</f>
        <v>32</v>
      </c>
      <c r="D26" s="2">
        <f>D19</f>
        <v>22</v>
      </c>
      <c r="E26" s="2">
        <f>E19</f>
        <v>16</v>
      </c>
      <c r="F26" s="2">
        <f>F19</f>
        <v>7</v>
      </c>
      <c r="G26" s="2">
        <f>D26+E26+F26</f>
        <v>45</v>
      </c>
      <c r="H26" s="1"/>
    </row>
    <row r="27" spans="1:8" x14ac:dyDescent="0.2">
      <c r="A27" s="2">
        <v>2</v>
      </c>
      <c r="C27" s="2"/>
      <c r="D27" s="8">
        <f>D26+D20</f>
        <v>92</v>
      </c>
      <c r="E27" s="2">
        <f>E26+E20</f>
        <v>66</v>
      </c>
      <c r="F27" s="2">
        <f>F26+F20</f>
        <v>16</v>
      </c>
      <c r="G27" s="2">
        <f>E27+F27</f>
        <v>82</v>
      </c>
      <c r="H27" s="1"/>
    </row>
    <row r="28" spans="1:8" x14ac:dyDescent="0.2">
      <c r="A28" s="2">
        <v>3</v>
      </c>
      <c r="C28" s="2"/>
      <c r="D28" s="2"/>
      <c r="E28" s="8">
        <f>E27+E21</f>
        <v>118</v>
      </c>
      <c r="F28" s="2">
        <f>F27+F21</f>
        <v>45</v>
      </c>
      <c r="G28" s="2">
        <f>F28</f>
        <v>45</v>
      </c>
      <c r="H28" s="1"/>
    </row>
    <row r="29" spans="1:8" x14ac:dyDescent="0.2">
      <c r="B29" s="2"/>
      <c r="C29" s="2"/>
      <c r="D29" s="2"/>
      <c r="E29" s="8"/>
      <c r="F29" s="2"/>
      <c r="G29" s="2"/>
      <c r="H29" s="1"/>
    </row>
    <row r="30" spans="1:8" x14ac:dyDescent="0.2">
      <c r="A30" s="7" t="s">
        <v>26</v>
      </c>
      <c r="F30" s="2"/>
      <c r="G30" s="2"/>
      <c r="H30" s="1"/>
    </row>
    <row r="31" spans="1:8" x14ac:dyDescent="0.2">
      <c r="A31" s="1" t="s">
        <v>25</v>
      </c>
      <c r="B31" s="2">
        <v>1</v>
      </c>
      <c r="C31" s="2">
        <v>2</v>
      </c>
      <c r="D31" s="2">
        <v>3</v>
      </c>
      <c r="E31" s="2">
        <v>4</v>
      </c>
      <c r="F31" s="2"/>
      <c r="G31" s="2"/>
      <c r="H31" s="1"/>
    </row>
    <row r="32" spans="1:8" x14ac:dyDescent="0.2">
      <c r="A32" s="1" t="s">
        <v>5</v>
      </c>
      <c r="B32" s="2">
        <f>B19</f>
        <v>301</v>
      </c>
      <c r="C32" s="2">
        <f>B20</f>
        <v>766</v>
      </c>
      <c r="D32" s="2">
        <f>B21</f>
        <v>897</v>
      </c>
      <c r="E32" s="8"/>
      <c r="F32" s="2"/>
      <c r="G32" s="2"/>
      <c r="H32" s="1"/>
    </row>
    <row r="33" spans="1:8" x14ac:dyDescent="0.2">
      <c r="A33" s="1" t="s">
        <v>2</v>
      </c>
      <c r="B33" s="2">
        <f>G19</f>
        <v>77</v>
      </c>
      <c r="C33" s="2">
        <f>G20</f>
        <v>129</v>
      </c>
      <c r="D33" s="2">
        <f>G21</f>
        <v>81</v>
      </c>
      <c r="E33" s="8"/>
      <c r="F33" s="2"/>
      <c r="G33" s="2"/>
      <c r="H33" s="1"/>
    </row>
    <row r="34" spans="1:8" x14ac:dyDescent="0.2">
      <c r="A34" s="1" t="s">
        <v>9</v>
      </c>
      <c r="B34" s="2">
        <f>C22</f>
        <v>32</v>
      </c>
      <c r="C34" s="2">
        <f t="shared" ref="C34:E34" si="1">D22</f>
        <v>92</v>
      </c>
      <c r="D34" s="2">
        <f t="shared" si="1"/>
        <v>118</v>
      </c>
      <c r="E34" s="2">
        <f t="shared" si="1"/>
        <v>45</v>
      </c>
      <c r="F34" s="2"/>
      <c r="G34" s="2"/>
      <c r="H34" s="1"/>
    </row>
    <row r="35" spans="1:8" x14ac:dyDescent="0.2">
      <c r="A35" s="9" t="s">
        <v>27</v>
      </c>
      <c r="B35">
        <v>0</v>
      </c>
      <c r="C35">
        <f>G26</f>
        <v>45</v>
      </c>
      <c r="D35">
        <f>G27</f>
        <v>82</v>
      </c>
      <c r="E35">
        <f>G28</f>
        <v>45</v>
      </c>
    </row>
    <row r="37" spans="1:8" x14ac:dyDescent="0.2">
      <c r="A37" s="7" t="s">
        <v>23</v>
      </c>
    </row>
    <row r="38" spans="1:8" x14ac:dyDescent="0.2">
      <c r="B38" t="s">
        <v>0</v>
      </c>
      <c r="C38" t="s">
        <v>1</v>
      </c>
    </row>
    <row r="40" spans="1:8" x14ac:dyDescent="0.2">
      <c r="A40" s="1" t="s">
        <v>28</v>
      </c>
      <c r="B40">
        <f>C35/(B33+B35)*B33*(C32+1)/(B32*(C33+1))</f>
        <v>0.88205980066445178</v>
      </c>
      <c r="C40">
        <f>D35/(C33+C35)*C33*(D32+1)/(C32*(D33+1))</f>
        <v>0.86913658053479781</v>
      </c>
    </row>
    <row r="41" spans="1:8" x14ac:dyDescent="0.2">
      <c r="A41" s="1" t="s">
        <v>29</v>
      </c>
      <c r="B41">
        <f>B40^2*(1/B33+1/C33+1/C35-1/B32-1/C32-1/(B33+B35))</f>
        <v>1.9720260751757063E-2</v>
      </c>
      <c r="C41">
        <f>C40^2*(1/C33+1/D33+1/D35-1/C32-1/D32-1/(C33+C35))</f>
        <v>1.8224214636835E-2</v>
      </c>
    </row>
    <row r="42" spans="1:8" x14ac:dyDescent="0.2">
      <c r="A42" s="1" t="s">
        <v>38</v>
      </c>
      <c r="B42">
        <f>B41^0.5</f>
        <v>0.14042884586778126</v>
      </c>
      <c r="C42">
        <f>C41^0.5</f>
        <v>0.1349970912161999</v>
      </c>
    </row>
    <row r="43" spans="1:8" ht="16" x14ac:dyDescent="0.2">
      <c r="A43" s="5" t="s">
        <v>17</v>
      </c>
      <c r="B43">
        <f>B33/B32*B34/(B33+B35)</f>
        <v>0.10631229235880399</v>
      </c>
      <c r="C43">
        <f>C33/C32*D34/(C33+C35)</f>
        <v>0.11420725668497343</v>
      </c>
    </row>
    <row r="44" spans="1:8" ht="16" x14ac:dyDescent="0.2">
      <c r="A44" s="5" t="s">
        <v>19</v>
      </c>
      <c r="B44">
        <f>B43/(1-B40)</f>
        <v>0.90140845070422504</v>
      </c>
      <c r="C44">
        <f>C43/(1-C40)</f>
        <v>0.87272101823185366</v>
      </c>
    </row>
    <row r="45" spans="1:8" x14ac:dyDescent="0.2">
      <c r="A45" s="1" t="s">
        <v>30</v>
      </c>
      <c r="B45">
        <f>B44^2/(1-B40)^2*(1/B33-1/(B33+B35)-1/B32+(1-B40)^2/B34+B40^2*(1/C33+1/C35-1/C32))</f>
        <v>1.1342606825647235</v>
      </c>
      <c r="C45">
        <f>C44^2/(1-C40)^2*(1/C33-1/(C33+C35)-1/C32+(1-C40)^2/C34+C40^2*(1/D33+1/D35-1/D32))</f>
        <v>0.82640537664449021</v>
      </c>
    </row>
    <row r="46" spans="1:8" x14ac:dyDescent="0.2">
      <c r="A46" s="1" t="s">
        <v>39</v>
      </c>
      <c r="B46">
        <f>B45^0.5</f>
        <v>1.0650167522460496</v>
      </c>
      <c r="C46">
        <f>C45^0.5</f>
        <v>0.90906841142154438</v>
      </c>
    </row>
    <row r="47" spans="1:8" x14ac:dyDescent="0.2">
      <c r="A47" s="1" t="s">
        <v>40</v>
      </c>
      <c r="B47">
        <f>B44+1.965*B46</f>
        <v>2.9941663688677127</v>
      </c>
      <c r="C47">
        <f>C44+1.965*C46</f>
        <v>2.6590404466751885</v>
      </c>
    </row>
    <row r="48" spans="1:8" x14ac:dyDescent="0.2">
      <c r="A48" s="1" t="s">
        <v>41</v>
      </c>
      <c r="B48">
        <f>B44-1.965*B46</f>
        <v>-1.1913494674592626</v>
      </c>
      <c r="C48">
        <f>C44-1.965*C46</f>
        <v>-0.91359841021148114</v>
      </c>
    </row>
    <row r="50" spans="1:1" x14ac:dyDescent="0.2">
      <c r="A50" s="1" t="s">
        <v>34</v>
      </c>
    </row>
    <row r="51" spans="1:1" x14ac:dyDescent="0.2">
      <c r="A51" s="1" t="s">
        <v>33</v>
      </c>
    </row>
  </sheetData>
  <printOptions gridLines="1" gridLinesSet="0"/>
  <pageMargins left="0.78740157499999996" right="0.78740157499999996" top="0.984251969" bottom="0.984251969" header="0.5" footer="0.5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Graugans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2024-11-08T16:29:17Z</dcterms:created>
  <dcterms:modified xsi:type="dcterms:W3CDTF">2025-10-26T22:01:51Z</dcterms:modified>
</cp:coreProperties>
</file>