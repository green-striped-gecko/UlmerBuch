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624FAF49-2B5B-234B-9A92-62BC5ED71B30}" xr6:coauthVersionLast="47" xr6:coauthVersionMax="47" xr10:uidLastSave="{00000000-0000-0000-0000-000000000000}"/>
  <bookViews>
    <workbookView xWindow="6440" yWindow="740" windowWidth="11700" windowHeight="11640" tabRatio="500" xr2:uid="{00000000-000D-0000-FFFF-FFFF00000000}"/>
  </bookViews>
  <sheets>
    <sheet name="Kot-Erwartungswe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G8" i="1"/>
  <c r="G9" i="1"/>
  <c r="G7" i="1"/>
  <c r="G10" i="1" l="1"/>
  <c r="B10" i="1"/>
  <c r="D9" i="1" l="1"/>
  <c r="E9" i="1" s="1"/>
  <c r="D8" i="1"/>
  <c r="E8" i="1" s="1"/>
  <c r="D7" i="1"/>
  <c r="E7" i="1" s="1"/>
  <c r="E10" i="1" l="1"/>
</calcChain>
</file>

<file path=xl/sharedStrings.xml><?xml version="1.0" encoding="utf-8"?>
<sst xmlns="http://schemas.openxmlformats.org/spreadsheetml/2006/main" count="14" uniqueCount="14">
  <si>
    <t>Erwartungswert</t>
  </si>
  <si>
    <t>Chi-Quadrat</t>
  </si>
  <si>
    <t>gerundete Erwartungswerte</t>
  </si>
  <si>
    <t>Verhältnis Popgrößen</t>
  </si>
  <si>
    <t>Population</t>
  </si>
  <si>
    <t>Anzahl Kotfunde</t>
  </si>
  <si>
    <t>Das geschätzte Verhältnis der relativen Häufigkeit anhand von Kotfunden unterscheidet sich signifikant vom</t>
  </si>
  <si>
    <t>Beispiel 5.2, Tabelle 5.2: Vergleich der geschätzten relativen Häufigkeit der Ruineneidechse durch Kotfunde</t>
  </si>
  <si>
    <t>Datenquelle</t>
  </si>
  <si>
    <t>Erwartungswerte werden anhand publizierter Populationsgrößen berechnet</t>
  </si>
  <si>
    <t>Damit kann der Index nur als Index für größer oder kleiner verwendet werden, jedoch nicht für den quantitativen Unterschied</t>
  </si>
  <si>
    <t>Chi-Quadrat-Teilwerte</t>
  </si>
  <si>
    <t>Verhätnis der geschätzten Populationsgrößen: alpha &lt; 0,01 bei 2 Freiheitsgraden</t>
  </si>
  <si>
    <r>
      <t>Henle, K. (1988): Dynamics and ecology of three Yugoslavian populations of the Italian wall lizard (</t>
    </r>
    <r>
      <rPr>
        <i/>
        <sz val="12"/>
        <rFont val="Times New Roman"/>
        <family val="1"/>
      </rPr>
      <t>Podarcis sicula campestris</t>
    </r>
    <r>
      <rPr>
        <sz val="12"/>
        <rFont val="Times New Roman"/>
        <family val="1"/>
      </rPr>
      <t xml:space="preserve"> De Betta) (Reptilia: Lacertidae). – Zoologischer Anzeiger 220: 33–48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</si>
</sst>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Geneva"/>
    </font>
    <font>
      <sz val="10"/>
      <name val="Geneva"/>
      <family val="2"/>
    </font>
    <font>
      <b/>
      <sz val="10"/>
      <name val="Geneva"/>
      <family val="2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B2" sqref="B2"/>
    </sheetView>
  </sheetViews>
  <sheetFormatPr baseColWidth="10" defaultRowHeight="14" x14ac:dyDescent="0.2"/>
  <cols>
    <col min="2" max="2" width="16" customWidth="1"/>
    <col min="3" max="3" width="17" customWidth="1"/>
    <col min="4" max="4" width="15.28515625" customWidth="1"/>
    <col min="5" max="5" width="14.140625" customWidth="1"/>
    <col min="6" max="6" width="20.85546875" customWidth="1"/>
    <col min="7" max="7" width="19.28515625" customWidth="1"/>
  </cols>
  <sheetData>
    <row r="1" spans="1:7" x14ac:dyDescent="0.2">
      <c r="A1" s="2" t="s">
        <v>7</v>
      </c>
    </row>
    <row r="2" spans="1:7" ht="16" x14ac:dyDescent="0.2">
      <c r="A2" s="1" t="s">
        <v>8</v>
      </c>
      <c r="B2" s="3" t="s">
        <v>13</v>
      </c>
    </row>
    <row r="3" spans="1:7" x14ac:dyDescent="0.2">
      <c r="A3" s="1"/>
    </row>
    <row r="4" spans="1:7" x14ac:dyDescent="0.2">
      <c r="A4" s="1" t="s">
        <v>9</v>
      </c>
    </row>
    <row r="5" spans="1:7" x14ac:dyDescent="0.2">
      <c r="B5" s="1"/>
    </row>
    <row r="6" spans="1:7" x14ac:dyDescent="0.2">
      <c r="A6" s="1" t="s">
        <v>4</v>
      </c>
      <c r="B6" s="1" t="s">
        <v>5</v>
      </c>
      <c r="C6" s="1" t="s">
        <v>3</v>
      </c>
      <c r="D6" s="1" t="s">
        <v>0</v>
      </c>
      <c r="E6" s="1" t="s">
        <v>1</v>
      </c>
      <c r="F6" s="1" t="s">
        <v>2</v>
      </c>
      <c r="G6" s="1" t="s">
        <v>11</v>
      </c>
    </row>
    <row r="7" spans="1:7" x14ac:dyDescent="0.2">
      <c r="A7">
        <v>1</v>
      </c>
      <c r="B7">
        <v>25</v>
      </c>
      <c r="C7">
        <v>1</v>
      </c>
      <c r="D7">
        <f>C7*B10/C10</f>
        <v>17.118644067796609</v>
      </c>
      <c r="E7">
        <f>(B7-D7)^2/D7</f>
        <v>3.6285450578956215</v>
      </c>
      <c r="F7">
        <v>17</v>
      </c>
      <c r="G7">
        <f>(B7-F7)^2/F7</f>
        <v>3.7647058823529411</v>
      </c>
    </row>
    <row r="8" spans="1:7" x14ac:dyDescent="0.2">
      <c r="A8">
        <v>2</v>
      </c>
      <c r="B8">
        <v>33</v>
      </c>
      <c r="C8">
        <v>1.4</v>
      </c>
      <c r="D8">
        <f>C8*B10/C10</f>
        <v>23.966101694915249</v>
      </c>
      <c r="E8">
        <f>(B8-D8)^2/D8</f>
        <v>3.405281327164198</v>
      </c>
      <c r="F8">
        <v>24</v>
      </c>
      <c r="G8">
        <f>(B8-F8)^2/F8</f>
        <v>3.375</v>
      </c>
    </row>
    <row r="9" spans="1:7" x14ac:dyDescent="0.2">
      <c r="A9">
        <v>3</v>
      </c>
      <c r="B9">
        <v>43</v>
      </c>
      <c r="C9">
        <v>3.5</v>
      </c>
      <c r="D9">
        <f>C9*B10/C10</f>
        <v>59.915254237288131</v>
      </c>
      <c r="E9">
        <f>(B9-D9)^2/D9</f>
        <v>4.7755088341763932</v>
      </c>
      <c r="F9">
        <v>60</v>
      </c>
      <c r="G9">
        <f>(B9-F9)^2/F9</f>
        <v>4.8166666666666664</v>
      </c>
    </row>
    <row r="10" spans="1:7" x14ac:dyDescent="0.2">
      <c r="B10">
        <f>B7+B8+B9</f>
        <v>101</v>
      </c>
      <c r="C10">
        <f>C7+C8+C9</f>
        <v>5.9</v>
      </c>
      <c r="E10">
        <f>E7+E8+E9</f>
        <v>11.809335219236214</v>
      </c>
      <c r="G10">
        <f>G7+G8+G9</f>
        <v>11.956372549019608</v>
      </c>
    </row>
    <row r="13" spans="1:7" x14ac:dyDescent="0.2">
      <c r="A13" s="1" t="s">
        <v>6</v>
      </c>
    </row>
    <row r="14" spans="1:7" x14ac:dyDescent="0.2">
      <c r="A14" s="1" t="s">
        <v>12</v>
      </c>
    </row>
    <row r="15" spans="1:7" x14ac:dyDescent="0.2">
      <c r="A15" s="1" t="s">
        <v>10</v>
      </c>
    </row>
  </sheetData>
  <printOptions gridLines="1" gridLinesSet="0"/>
  <pageMargins left="0.78740157499999996" right="0.78740157499999996" top="0.984251969" bottom="0.984251969" header="0.5" footer="0.5"/>
  <headerFooter alignWithMargins="0">
    <oddHeader>&amp;F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Kot-Erwartungswerte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2021-06-14T16:45:11Z</dcterms:created>
  <dcterms:modified xsi:type="dcterms:W3CDTF">2025-10-19T18:51:40Z</dcterms:modified>
</cp:coreProperties>
</file>