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060A1136-03CB-EE4A-910F-1F2689F69AF4}" xr6:coauthVersionLast="47" xr6:coauthVersionMax="47" xr10:uidLastSave="{00000000-0000-0000-0000-000000000000}"/>
  <bookViews>
    <workbookView xWindow="560" yWindow="500" windowWidth="28240" windowHeight="16140" xr2:uid="{D42442FC-FCB7-EA43-9001-D0F82CE2AE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C13" i="1"/>
  <c r="D11" i="1"/>
  <c r="E11" i="1"/>
  <c r="F11" i="1"/>
  <c r="F12" i="1" s="1"/>
  <c r="G11" i="1"/>
  <c r="G12" i="1" s="1"/>
  <c r="H11" i="1"/>
  <c r="H12" i="1" s="1"/>
  <c r="I11" i="1"/>
  <c r="I12" i="1" s="1"/>
  <c r="J11" i="1"/>
  <c r="J12" i="1" s="1"/>
  <c r="K11" i="1"/>
  <c r="K12" i="1" s="1"/>
  <c r="L11" i="1"/>
  <c r="L12" i="1" s="1"/>
  <c r="M11" i="1"/>
  <c r="M12" i="1" s="1"/>
  <c r="N11" i="1"/>
  <c r="N12" i="1" s="1"/>
  <c r="O11" i="1"/>
  <c r="O12" i="1" s="1"/>
  <c r="P11" i="1"/>
  <c r="Q11" i="1"/>
  <c r="Q12" i="1" s="1"/>
  <c r="R11" i="1"/>
  <c r="R12" i="1" s="1"/>
  <c r="C11" i="1"/>
  <c r="D12" i="1"/>
  <c r="E12" i="1"/>
  <c r="P12" i="1"/>
  <c r="S9" i="1"/>
  <c r="C12" i="1"/>
  <c r="S12" i="1" l="1"/>
  <c r="S13" i="1"/>
  <c r="S11" i="1"/>
  <c r="C15" i="1" l="1"/>
</calcChain>
</file>

<file path=xl/sharedStrings.xml><?xml version="1.0" encoding="utf-8"?>
<sst xmlns="http://schemas.openxmlformats.org/spreadsheetml/2006/main" count="18" uniqueCount="16">
  <si>
    <t>t</t>
  </si>
  <si>
    <r>
      <t>N</t>
    </r>
    <r>
      <rPr>
        <i/>
        <vertAlign val="subscript"/>
        <sz val="12"/>
        <color theme="1"/>
        <rFont val="Arial"/>
        <family val="2"/>
      </rPr>
      <t>t</t>
    </r>
  </si>
  <si>
    <r>
      <t>ln(</t>
    </r>
    <r>
      <rPr>
        <i/>
        <sz val="12"/>
        <color theme="1"/>
        <rFont val="Arial"/>
        <family val="2"/>
      </rPr>
      <t>N</t>
    </r>
    <r>
      <rPr>
        <i/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)</t>
    </r>
  </si>
  <si>
    <r>
      <t>t*ln(</t>
    </r>
    <r>
      <rPr>
        <i/>
        <sz val="12"/>
        <color theme="1"/>
        <rFont val="Arial"/>
        <family val="2"/>
      </rPr>
      <t>N</t>
    </r>
    <r>
      <rPr>
        <i/>
        <vertAlign val="subscript"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)</t>
    </r>
  </si>
  <si>
    <r>
      <t>t</t>
    </r>
    <r>
      <rPr>
        <i/>
        <vertAlign val="superscript"/>
        <sz val="12"/>
        <color theme="1"/>
        <rFont val="Arial"/>
        <family val="2"/>
      </rPr>
      <t>2</t>
    </r>
  </si>
  <si>
    <t>Jahr</t>
  </si>
  <si>
    <t>Nt</t>
  </si>
  <si>
    <t>Populationsgröße im Jahr t</t>
  </si>
  <si>
    <t>r</t>
  </si>
  <si>
    <t>Wachstumsrate</t>
  </si>
  <si>
    <t>Die Anzahl der anwandernden Erdkröten hat also im Mittel deutlich abgenommen</t>
  </si>
  <si>
    <t>Summen</t>
  </si>
  <si>
    <t>Datenquelle</t>
  </si>
  <si>
    <t>Parameterdefinitionen</t>
  </si>
  <si>
    <t>Seyring, M., Henle, K., Barth, B. et al. (2024): Empfehlungen für ein bundeseinheitliches Vorgehen bei der Erfassung von Amphibien-Schutzzaun-Daten zur Unterstützung von Bestandstrendanalysen. – S. 114–133 in: Henle, K., Pogoda, P., Podloucky, R. et al. (Hrsg.): Neue Methoden der Feldherpetologie. – Chimaira, Frankfurt/M. (Mertensiella 32)</t>
  </si>
  <si>
    <t>Tab. 8.4 Beispiel 8.5: Log-lineare Trend Analyse für eine Erdkrötenpopulation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</si>
</sst>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i/>
      <vertAlign val="subscript"/>
      <sz val="12"/>
      <color theme="1"/>
      <name val="Arial"/>
      <family val="2"/>
    </font>
    <font>
      <sz val="12"/>
      <color rgb="FF000000"/>
      <name val="Arial"/>
      <family val="2"/>
    </font>
    <font>
      <i/>
      <vertAlign val="superscript"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2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9520-42C9-BE4C-9C6C-1BD14D0977D2}">
  <dimension ref="A1:S17"/>
  <sheetViews>
    <sheetView tabSelected="1" workbookViewId="0">
      <selection activeCell="A2" sqref="A2"/>
    </sheetView>
  </sheetViews>
  <sheetFormatPr baseColWidth="10" defaultRowHeight="16" x14ac:dyDescent="0.2"/>
  <sheetData>
    <row r="1" spans="1:19" x14ac:dyDescent="0.2">
      <c r="A1" s="5" t="s">
        <v>15</v>
      </c>
    </row>
    <row r="2" spans="1:19" x14ac:dyDescent="0.2">
      <c r="A2" t="s">
        <v>12</v>
      </c>
      <c r="B2" s="6" t="s">
        <v>14</v>
      </c>
    </row>
    <row r="3" spans="1:19" x14ac:dyDescent="0.2">
      <c r="A3" s="5"/>
    </row>
    <row r="4" spans="1:19" x14ac:dyDescent="0.2">
      <c r="A4" s="5" t="s">
        <v>13</v>
      </c>
    </row>
    <row r="5" spans="1:19" x14ac:dyDescent="0.2">
      <c r="A5" t="s">
        <v>0</v>
      </c>
      <c r="B5" t="s">
        <v>5</v>
      </c>
    </row>
    <row r="6" spans="1:19" x14ac:dyDescent="0.2">
      <c r="A6" t="s">
        <v>6</v>
      </c>
      <c r="B6" t="s">
        <v>7</v>
      </c>
    </row>
    <row r="7" spans="1:19" x14ac:dyDescent="0.2">
      <c r="A7" t="s">
        <v>8</v>
      </c>
      <c r="B7" t="s">
        <v>9</v>
      </c>
    </row>
    <row r="8" spans="1:19" x14ac:dyDescent="0.2"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t="s">
        <v>11</v>
      </c>
    </row>
    <row r="9" spans="1:19" ht="17" x14ac:dyDescent="0.2">
      <c r="B9" s="1" t="s">
        <v>0</v>
      </c>
      <c r="C9" s="2">
        <v>0</v>
      </c>
      <c r="D9" s="2">
        <v>1</v>
      </c>
      <c r="E9" s="2">
        <v>2</v>
      </c>
      <c r="F9" s="2">
        <v>3</v>
      </c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13</v>
      </c>
      <c r="P9" s="2">
        <v>14</v>
      </c>
      <c r="Q9" s="2">
        <v>15</v>
      </c>
      <c r="R9" s="2">
        <v>16</v>
      </c>
      <c r="S9" s="2">
        <f>SUM(C9:R9)</f>
        <v>124</v>
      </c>
    </row>
    <row r="10" spans="1:19" ht="19" x14ac:dyDescent="0.2">
      <c r="B10" s="1" t="s">
        <v>1</v>
      </c>
      <c r="C10" s="2">
        <v>311</v>
      </c>
      <c r="D10" s="2">
        <v>564</v>
      </c>
      <c r="E10" s="2">
        <v>257</v>
      </c>
      <c r="F10" s="2">
        <v>645</v>
      </c>
      <c r="G10" s="2">
        <v>797</v>
      </c>
      <c r="H10" s="2">
        <v>589</v>
      </c>
      <c r="I10" s="2">
        <v>412</v>
      </c>
      <c r="J10" s="2">
        <v>177</v>
      </c>
      <c r="K10" s="2">
        <v>398</v>
      </c>
      <c r="L10" s="2">
        <v>138</v>
      </c>
      <c r="M10" s="2">
        <v>235</v>
      </c>
      <c r="N10" s="2">
        <v>265</v>
      </c>
      <c r="O10" s="2">
        <v>315</v>
      </c>
      <c r="P10" s="2">
        <v>138</v>
      </c>
      <c r="Q10" s="2">
        <v>112</v>
      </c>
      <c r="R10" s="2">
        <v>37</v>
      </c>
      <c r="S10" s="2"/>
    </row>
    <row r="11" spans="1:19" ht="19" x14ac:dyDescent="0.2">
      <c r="B11" s="2" t="s">
        <v>2</v>
      </c>
      <c r="C11" s="4">
        <f>LN(C10)</f>
        <v>5.7397929121792339</v>
      </c>
      <c r="D11" s="4">
        <f t="shared" ref="D11:R11" si="0">LN(D10)</f>
        <v>6.3350542514980592</v>
      </c>
      <c r="E11" s="4">
        <f t="shared" si="0"/>
        <v>5.5490760848952201</v>
      </c>
      <c r="F11" s="4">
        <f t="shared" si="0"/>
        <v>6.4692503167957724</v>
      </c>
      <c r="G11" s="4">
        <f t="shared" si="0"/>
        <v>6.6808546787902152</v>
      </c>
      <c r="H11" s="4">
        <f t="shared" si="0"/>
        <v>6.3784261836515865</v>
      </c>
      <c r="I11" s="4">
        <f t="shared" si="0"/>
        <v>6.0210233493495267</v>
      </c>
      <c r="J11" s="4">
        <f t="shared" si="0"/>
        <v>5.1761497325738288</v>
      </c>
      <c r="K11" s="4">
        <f t="shared" si="0"/>
        <v>5.9864520052844377</v>
      </c>
      <c r="L11" s="4">
        <f t="shared" si="0"/>
        <v>4.9272536851572051</v>
      </c>
      <c r="M11" s="4">
        <f t="shared" si="0"/>
        <v>5.4595855141441589</v>
      </c>
      <c r="N11" s="4">
        <f t="shared" si="0"/>
        <v>5.579729825986222</v>
      </c>
      <c r="O11" s="4">
        <f t="shared" si="0"/>
        <v>5.7525726388256331</v>
      </c>
      <c r="P11" s="4">
        <f t="shared" si="0"/>
        <v>4.9272536851572051</v>
      </c>
      <c r="Q11" s="4">
        <f t="shared" si="0"/>
        <v>4.7184988712950942</v>
      </c>
      <c r="R11" s="4">
        <f t="shared" si="0"/>
        <v>3.6109179126442243</v>
      </c>
      <c r="S11" s="2">
        <f>SUM(C11:R11)</f>
        <v>89.311891648227615</v>
      </c>
    </row>
    <row r="12" spans="1:19" ht="19" x14ac:dyDescent="0.2">
      <c r="B12" s="2" t="s">
        <v>3</v>
      </c>
      <c r="C12" s="4">
        <f>C9*C11</f>
        <v>0</v>
      </c>
      <c r="D12" s="4">
        <f t="shared" ref="D12:R12" si="1">D9*D11</f>
        <v>6.3350542514980592</v>
      </c>
      <c r="E12" s="4">
        <f t="shared" si="1"/>
        <v>11.09815216979044</v>
      </c>
      <c r="F12" s="4">
        <f t="shared" si="1"/>
        <v>19.407750950387317</v>
      </c>
      <c r="G12" s="4">
        <f t="shared" si="1"/>
        <v>26.723418715160861</v>
      </c>
      <c r="H12" s="4">
        <f t="shared" si="1"/>
        <v>31.892130918257934</v>
      </c>
      <c r="I12" s="4">
        <f t="shared" si="1"/>
        <v>36.12614009609716</v>
      </c>
      <c r="J12" s="4">
        <f t="shared" si="1"/>
        <v>36.233048128016804</v>
      </c>
      <c r="K12" s="4">
        <f t="shared" si="1"/>
        <v>47.891616042275501</v>
      </c>
      <c r="L12" s="4">
        <f t="shared" si="1"/>
        <v>44.345283166414845</v>
      </c>
      <c r="M12" s="4">
        <f t="shared" si="1"/>
        <v>54.595855141441589</v>
      </c>
      <c r="N12" s="4">
        <f t="shared" si="1"/>
        <v>61.377028085848444</v>
      </c>
      <c r="O12" s="4">
        <f t="shared" si="1"/>
        <v>74.783444304733223</v>
      </c>
      <c r="P12" s="4">
        <f t="shared" si="1"/>
        <v>68.981551592200873</v>
      </c>
      <c r="Q12" s="4">
        <f t="shared" si="1"/>
        <v>70.77748306942641</v>
      </c>
      <c r="R12" s="4">
        <f t="shared" si="1"/>
        <v>57.77468660230759</v>
      </c>
      <c r="S12" s="2">
        <f>SUM(C12:R12)</f>
        <v>648.34264323385696</v>
      </c>
    </row>
    <row r="13" spans="1:19" ht="19" x14ac:dyDescent="0.2">
      <c r="B13" s="1" t="s">
        <v>4</v>
      </c>
      <c r="C13">
        <f>C9^2</f>
        <v>0</v>
      </c>
      <c r="D13">
        <f t="shared" ref="D13:R13" si="2">D9^2</f>
        <v>1</v>
      </c>
      <c r="E13">
        <f t="shared" si="2"/>
        <v>4</v>
      </c>
      <c r="F13">
        <f t="shared" si="2"/>
        <v>9</v>
      </c>
      <c r="G13">
        <f t="shared" si="2"/>
        <v>16</v>
      </c>
      <c r="H13">
        <f t="shared" si="2"/>
        <v>25</v>
      </c>
      <c r="I13">
        <f t="shared" si="2"/>
        <v>36</v>
      </c>
      <c r="J13">
        <f t="shared" si="2"/>
        <v>49</v>
      </c>
      <c r="K13">
        <f t="shared" si="2"/>
        <v>64</v>
      </c>
      <c r="L13">
        <f t="shared" si="2"/>
        <v>81</v>
      </c>
      <c r="M13">
        <f t="shared" si="2"/>
        <v>100</v>
      </c>
      <c r="N13">
        <f t="shared" si="2"/>
        <v>121</v>
      </c>
      <c r="O13">
        <f t="shared" si="2"/>
        <v>169</v>
      </c>
      <c r="P13">
        <f t="shared" si="2"/>
        <v>196</v>
      </c>
      <c r="Q13">
        <f t="shared" si="2"/>
        <v>225</v>
      </c>
      <c r="R13">
        <f t="shared" si="2"/>
        <v>256</v>
      </c>
      <c r="S13" s="2">
        <f>SUM(C13:R13)</f>
        <v>1352</v>
      </c>
    </row>
    <row r="15" spans="1:19" x14ac:dyDescent="0.2">
      <c r="B15" t="s">
        <v>8</v>
      </c>
      <c r="C15">
        <f>(S12-1/R9*S9*S11)/(S13-1/R9*S9^2)</f>
        <v>-0.11208316378492851</v>
      </c>
    </row>
    <row r="17" spans="2:2" x14ac:dyDescent="0.2">
      <c r="B17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2025-03-30T18:43:41Z</dcterms:created>
  <dcterms:modified xsi:type="dcterms:W3CDTF">2025-10-25T13:15:02Z</dcterms:modified>
</cp:coreProperties>
</file>