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761EBFA4-74E3-E34F-877F-AB1985BB5FF9}" xr6:coauthVersionLast="47" xr6:coauthVersionMax="47" xr10:uidLastSave="{00000000-0000-0000-0000-000000000000}"/>
  <bookViews>
    <workbookView xWindow="5960" yWindow="500" windowWidth="21920" windowHeight="15880" xr2:uid="{00000000-000D-0000-FFFF-FFFF00000000}"/>
  </bookViews>
  <sheets>
    <sheet name="Salzwasserkroko.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3" i="1"/>
  <c r="I29" i="1"/>
  <c r="H29" i="1"/>
  <c r="I28" i="1"/>
  <c r="H28" i="1"/>
  <c r="J27" i="1"/>
  <c r="J26" i="1"/>
  <c r="J23" i="1"/>
  <c r="J24" i="1"/>
  <c r="J25" i="1"/>
  <c r="I22" i="1"/>
  <c r="H22" i="1"/>
  <c r="I21" i="1"/>
  <c r="H21" i="1"/>
  <c r="J20" i="1"/>
  <c r="J19" i="1"/>
  <c r="E19" i="1"/>
  <c r="J22" i="1" l="1"/>
  <c r="J28" i="1"/>
  <c r="J29" i="1"/>
  <c r="J21" i="1"/>
  <c r="E20" i="1"/>
  <c r="E37" i="1"/>
  <c r="E32" i="1"/>
  <c r="E33" i="1"/>
  <c r="E40" i="1"/>
  <c r="E29" i="1"/>
  <c r="E41" i="1"/>
  <c r="E30" i="1"/>
  <c r="E44" i="1"/>
  <c r="E23" i="1"/>
  <c r="E31" i="1"/>
  <c r="E34" i="1"/>
  <c r="E24" i="1"/>
  <c r="E42" i="1"/>
  <c r="E38" i="1"/>
  <c r="E27" i="1"/>
  <c r="E21" i="1"/>
  <c r="E43" i="1"/>
  <c r="E45" i="1"/>
  <c r="E22" i="1"/>
  <c r="E39" i="1"/>
  <c r="E28" i="1"/>
  <c r="E36" i="1"/>
  <c r="E35" i="1"/>
  <c r="E46" i="1"/>
  <c r="E25" i="1"/>
  <c r="E47" i="1"/>
  <c r="E26" i="1"/>
  <c r="E48" i="1"/>
</calcChain>
</file>

<file path=xl/sharedStrings.xml><?xml version="1.0" encoding="utf-8"?>
<sst xmlns="http://schemas.openxmlformats.org/spreadsheetml/2006/main" count="32" uniqueCount="22">
  <si>
    <t>Tag</t>
  </si>
  <si>
    <t>HelikoptersiHZ</t>
  </si>
  <si>
    <t>BZ</t>
  </si>
  <si>
    <t>HZ/BZ</t>
  </si>
  <si>
    <t>Achtung, die Spalten in der Tabelle von Webb et al. (1990) sind irreführend angeordnet, da die Spalten EO und TOTNH versehentlich unter die Überschrift Helicopter Counts gerutscht sind!</t>
  </si>
  <si>
    <t>Originaldaten</t>
  </si>
  <si>
    <t>HZ</t>
  </si>
  <si>
    <t>Daten zusammengefasst für 2 oder 3 aufeinanderfolgende Tage und dem ersten bzw. dem mittleren Tag zugeordnet</t>
  </si>
  <si>
    <t>Ort</t>
  </si>
  <si>
    <t>Tab. 5.7 und Abb. 5.4, Beispiel 5.8: Kalibrierung von Boot- und Helikopterzählungen von Salzwasserkrokodilen</t>
  </si>
  <si>
    <t>Datenquelle</t>
  </si>
  <si>
    <r>
      <t>Webb, G.J.W., Dillon, M.L., McLean, G.E. et al. (1990): Monitoring the recovery of the saltwater crocodile (</t>
    </r>
    <r>
      <rPr>
        <i/>
        <sz val="12"/>
        <rFont val="Times New Roman"/>
        <family val="1"/>
      </rPr>
      <t>Crocodylus porosus</t>
    </r>
    <r>
      <rPr>
        <sz val="12"/>
        <rFont val="Times New Roman"/>
        <family val="1"/>
      </rPr>
      <t>) population in the Northern Territory of Australia. – Proceedings of the Working Meetings of the IUCN-SSC Crocodile Specialists Group 9: 329–380</t>
    </r>
  </si>
  <si>
    <t>Appendix III</t>
  </si>
  <si>
    <t>Die Tabellen  enthalten die Daten, um anhand einer Regressionsanalyse eine Kalibrierung von Erfassungen des Salzwasserkrokodils vom Boot aus mit denen vom Helikopter aus machen zu können</t>
  </si>
  <si>
    <t>Die Originaldaten wurden teilweise zusammengefasst, weil in manchen Teilgebieten die Erfassungen an aufeinanderfolgenden Tagen erfolgen musste und sich dadurch zufällige Schwankungen reduzieren und somit die Schätzungen genauer werden</t>
  </si>
  <si>
    <t>Da sich das Verhältnis zwischen Erfassungen vom Boot aus und mit dem Helikopter jahreszeitlich ändert, muss die Jahreszeit bei der Kalibrierung berücksichtigt werden.</t>
  </si>
  <si>
    <t>Datendefinitionen</t>
  </si>
  <si>
    <t>Anzahl vom Boot aus beobachteter Krokodile (ohne Jungtiere)</t>
  </si>
  <si>
    <t>Anzahl vom Helikopter aus beobachteter Krokodile (ohne Jungtiere)</t>
  </si>
  <si>
    <t>Kalendertag, Tag 1 = 1. Januar</t>
  </si>
  <si>
    <t>Bei Erfassung von 25 Krokodilen am Tag 200 vom Helikopter aus ergibt sich als Konversionsfaktor:</t>
  </si>
  <si>
    <t>was also 92 beobachteten Krokodilen vom Boot aus entspricht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</si>
</sst>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sz val="10"/>
      <name val="Verdana"/>
      <family val="2"/>
    </font>
    <font>
      <sz val="10"/>
      <color rgb="FFFF0000"/>
      <name val="Verdana"/>
      <family val="2"/>
    </font>
    <font>
      <b/>
      <sz val="10"/>
      <name val="Verdana"/>
      <family val="2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Salzwasserkroko.xls!$H$33</c:f>
              <c:strCache>
                <c:ptCount val="1"/>
                <c:pt idx="0">
                  <c:v>HZ/BZ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dk1">
                    <a:tint val="88500"/>
                  </a:schemeClr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692-5B46-8471-F32D70049E54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dk1">
                    <a:tint val="88500"/>
                  </a:schemeClr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692-5B46-8471-F32D70049E54}"/>
              </c:ext>
            </c:extLst>
          </c:dPt>
          <c:trendline>
            <c:spPr>
              <a:ln w="15875" cap="rnd">
                <a:solidFill>
                  <a:schemeClr val="dk1">
                    <a:tint val="885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7887357830271216E-2"/>
                  <c:y val="-0.43133675998833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Helvetica" pitchFamily="2" charset="0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trendline>
            <c:spPr>
              <a:ln w="15875" cap="rnd">
                <a:solidFill>
                  <a:schemeClr val="dk1">
                    <a:tint val="885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7793088363954511E-2"/>
                  <c:y val="-0.523929352580927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Helvetica" pitchFamily="2" charset="0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Salzwasserkroko.xls!$G$34:$G$44</c:f>
              <c:numCache>
                <c:formatCode>General</c:formatCode>
                <c:ptCount val="11"/>
                <c:pt idx="0">
                  <c:v>156</c:v>
                </c:pt>
                <c:pt idx="1">
                  <c:v>175</c:v>
                </c:pt>
                <c:pt idx="2">
                  <c:v>194</c:v>
                </c:pt>
                <c:pt idx="3">
                  <c:v>210</c:v>
                </c:pt>
                <c:pt idx="4">
                  <c:v>215</c:v>
                </c:pt>
                <c:pt idx="5">
                  <c:v>224</c:v>
                </c:pt>
                <c:pt idx="6">
                  <c:v>230</c:v>
                </c:pt>
                <c:pt idx="7">
                  <c:v>239</c:v>
                </c:pt>
                <c:pt idx="8">
                  <c:v>247</c:v>
                </c:pt>
                <c:pt idx="9">
                  <c:v>265</c:v>
                </c:pt>
                <c:pt idx="10">
                  <c:v>277</c:v>
                </c:pt>
              </c:numCache>
            </c:numRef>
          </c:xVal>
          <c:yVal>
            <c:numRef>
              <c:f>Salzwasserkroko.xls!$H$34:$H$44</c:f>
              <c:numCache>
                <c:formatCode>General</c:formatCode>
                <c:ptCount val="11"/>
                <c:pt idx="0">
                  <c:v>0.40972222222222221</c:v>
                </c:pt>
                <c:pt idx="1">
                  <c:v>0.29729729729729731</c:v>
                </c:pt>
                <c:pt idx="2">
                  <c:v>0.21408450704225351</c:v>
                </c:pt>
                <c:pt idx="3">
                  <c:v>0.26285714285714284</c:v>
                </c:pt>
                <c:pt idx="4">
                  <c:v>0.21698113207547171</c:v>
                </c:pt>
                <c:pt idx="5">
                  <c:v>0.26351351351351349</c:v>
                </c:pt>
                <c:pt idx="6">
                  <c:v>0.33870967741935482</c:v>
                </c:pt>
                <c:pt idx="7">
                  <c:v>0.16455696202531644</c:v>
                </c:pt>
                <c:pt idx="8">
                  <c:v>0.1141732283464567</c:v>
                </c:pt>
                <c:pt idx="9">
                  <c:v>0.23299565846599132</c:v>
                </c:pt>
                <c:pt idx="10">
                  <c:v>9.6730245231607628E-2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2-5B46-8471-F32D70049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98080"/>
        <c:axId val="802058848"/>
      </c:scatterChart>
      <c:valAx>
        <c:axId val="811398080"/>
        <c:scaling>
          <c:orientation val="minMax"/>
          <c:max val="300"/>
          <c:min val="1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de-DE" sz="1200" b="1">
                    <a:latin typeface="Helvetica" pitchFamily="2" charset="0"/>
                  </a:rPr>
                  <a:t>Tag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de-DE"/>
          </a:p>
        </c:txPr>
        <c:crossAx val="802058848"/>
        <c:crosses val="autoZero"/>
        <c:crossBetween val="midCat"/>
        <c:majorUnit val="50"/>
        <c:minorUnit val="25"/>
      </c:valAx>
      <c:valAx>
        <c:axId val="802058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de-DE" sz="1200" b="1">
                    <a:latin typeface="Helvetica" pitchFamily="2" charset="0"/>
                  </a:rPr>
                  <a:t>HZ/BZ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de-DE"/>
          </a:p>
        </c:txPr>
        <c:crossAx val="811398080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717550</xdr:colOff>
      <xdr:row>32</xdr:row>
      <xdr:rowOff>12700</xdr:rowOff>
    </xdr:from>
    <xdr:to>
      <xdr:col>16</xdr:col>
      <xdr:colOff>336550</xdr:colOff>
      <xdr:row>48</xdr:row>
      <xdr:rowOff>114300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2C52B259-61A9-DC4C-B6CB-E810115F4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selection activeCell="B62" sqref="B62"/>
    </sheetView>
  </sheetViews>
  <sheetFormatPr baseColWidth="10" defaultRowHeight="13" x14ac:dyDescent="0.15"/>
  <cols>
    <col min="3" max="3" width="15.6640625" customWidth="1"/>
  </cols>
  <sheetData>
    <row r="1" spans="1:7" x14ac:dyDescent="0.15">
      <c r="A1" s="3" t="s">
        <v>9</v>
      </c>
    </row>
    <row r="2" spans="1:7" ht="16" x14ac:dyDescent="0.2">
      <c r="A2" s="1" t="s">
        <v>10</v>
      </c>
      <c r="B2" s="4" t="s">
        <v>11</v>
      </c>
    </row>
    <row r="3" spans="1:7" x14ac:dyDescent="0.15">
      <c r="B3" s="1" t="s">
        <v>12</v>
      </c>
    </row>
    <row r="5" spans="1:7" x14ac:dyDescent="0.15">
      <c r="A5" s="1" t="s">
        <v>13</v>
      </c>
    </row>
    <row r="6" spans="1:7" x14ac:dyDescent="0.15">
      <c r="A6" s="1" t="s">
        <v>14</v>
      </c>
    </row>
    <row r="7" spans="1:7" x14ac:dyDescent="0.15">
      <c r="A7" s="1" t="s">
        <v>15</v>
      </c>
    </row>
    <row r="8" spans="1:7" x14ac:dyDescent="0.15">
      <c r="A8" s="1"/>
    </row>
    <row r="9" spans="1:7" x14ac:dyDescent="0.15">
      <c r="A9" s="2" t="s">
        <v>4</v>
      </c>
    </row>
    <row r="10" spans="1:7" x14ac:dyDescent="0.15">
      <c r="A10" s="2"/>
    </row>
    <row r="11" spans="1:7" x14ac:dyDescent="0.15">
      <c r="A11" s="3" t="s">
        <v>16</v>
      </c>
    </row>
    <row r="12" spans="1:7" s="1" customFormat="1" x14ac:dyDescent="0.15">
      <c r="A12" s="1" t="s">
        <v>2</v>
      </c>
      <c r="B12" s="1" t="s">
        <v>17</v>
      </c>
    </row>
    <row r="13" spans="1:7" s="1" customFormat="1" x14ac:dyDescent="0.15">
      <c r="A13" s="1" t="s">
        <v>6</v>
      </c>
      <c r="B13" s="1" t="s">
        <v>18</v>
      </c>
    </row>
    <row r="14" spans="1:7" s="1" customFormat="1" x14ac:dyDescent="0.15">
      <c r="A14" s="1" t="s">
        <v>0</v>
      </c>
      <c r="B14" s="1" t="s">
        <v>19</v>
      </c>
    </row>
    <row r="15" spans="1:7" x14ac:dyDescent="0.15">
      <c r="A15" s="2"/>
    </row>
    <row r="16" spans="1:7" x14ac:dyDescent="0.15">
      <c r="A16" t="s">
        <v>5</v>
      </c>
      <c r="G16" s="1" t="s">
        <v>7</v>
      </c>
    </row>
    <row r="18" spans="1:10" x14ac:dyDescent="0.15">
      <c r="A18" s="1" t="s">
        <v>8</v>
      </c>
      <c r="B18" t="s">
        <v>0</v>
      </c>
      <c r="C18" t="s">
        <v>1</v>
      </c>
      <c r="D18" s="1" t="s">
        <v>2</v>
      </c>
      <c r="E18" t="s">
        <v>3</v>
      </c>
      <c r="G18" t="s">
        <v>0</v>
      </c>
      <c r="H18" s="1" t="s">
        <v>6</v>
      </c>
      <c r="I18" s="1" t="s">
        <v>2</v>
      </c>
      <c r="J18" t="s">
        <v>3</v>
      </c>
    </row>
    <row r="19" spans="1:10" x14ac:dyDescent="0.15">
      <c r="A19">
        <v>1</v>
      </c>
      <c r="B19">
        <v>156</v>
      </c>
      <c r="C19">
        <v>59</v>
      </c>
      <c r="D19">
        <v>144</v>
      </c>
      <c r="E19">
        <f t="shared" ref="E19:E48" si="0">C19/D19</f>
        <v>0.40972222222222221</v>
      </c>
      <c r="G19">
        <v>156</v>
      </c>
      <c r="H19">
        <v>59</v>
      </c>
      <c r="I19">
        <v>144</v>
      </c>
      <c r="J19">
        <f>H19/I19</f>
        <v>0.40972222222222221</v>
      </c>
    </row>
    <row r="20" spans="1:10" x14ac:dyDescent="0.15">
      <c r="A20">
        <v>3</v>
      </c>
      <c r="B20">
        <v>175</v>
      </c>
      <c r="C20">
        <v>110</v>
      </c>
      <c r="D20">
        <v>370</v>
      </c>
      <c r="E20">
        <f t="shared" si="0"/>
        <v>0.29729729729729731</v>
      </c>
      <c r="G20">
        <v>175</v>
      </c>
      <c r="H20">
        <v>110</v>
      </c>
      <c r="I20">
        <v>370</v>
      </c>
      <c r="J20">
        <f>H20/I20</f>
        <v>0.29729729729729731</v>
      </c>
    </row>
    <row r="21" spans="1:10" x14ac:dyDescent="0.15">
      <c r="A21">
        <v>19</v>
      </c>
      <c r="B21">
        <v>194</v>
      </c>
      <c r="C21">
        <v>38</v>
      </c>
      <c r="D21">
        <v>152</v>
      </c>
      <c r="E21">
        <f t="shared" si="0"/>
        <v>0.25</v>
      </c>
      <c r="G21">
        <v>194</v>
      </c>
      <c r="H21">
        <f>SUM(C21:C26)</f>
        <v>228</v>
      </c>
      <c r="I21">
        <f>SUM(D21:D26)</f>
        <v>1065</v>
      </c>
      <c r="J21">
        <f t="shared" ref="J21:J24" si="1">H21/I21</f>
        <v>0.21408450704225351</v>
      </c>
    </row>
    <row r="22" spans="1:10" x14ac:dyDescent="0.15">
      <c r="A22">
        <v>22</v>
      </c>
      <c r="B22">
        <v>194</v>
      </c>
      <c r="C22">
        <v>35</v>
      </c>
      <c r="D22">
        <v>201</v>
      </c>
      <c r="E22">
        <f t="shared" si="0"/>
        <v>0.17412935323383086</v>
      </c>
      <c r="G22">
        <v>210</v>
      </c>
      <c r="H22">
        <f>C27+C28+C29+C30</f>
        <v>138</v>
      </c>
      <c r="I22">
        <f>D27+D28+D29+D30</f>
        <v>525</v>
      </c>
      <c r="J22">
        <f t="shared" si="1"/>
        <v>0.26285714285714284</v>
      </c>
    </row>
    <row r="23" spans="1:10" x14ac:dyDescent="0.15">
      <c r="A23">
        <v>12</v>
      </c>
      <c r="B23">
        <v>195</v>
      </c>
      <c r="C23">
        <v>17</v>
      </c>
      <c r="D23">
        <v>109</v>
      </c>
      <c r="E23">
        <f t="shared" si="0"/>
        <v>0.15596330275229359</v>
      </c>
      <c r="G23">
        <v>215</v>
      </c>
      <c r="H23">
        <v>69</v>
      </c>
      <c r="I23">
        <v>318</v>
      </c>
      <c r="J23">
        <f t="shared" si="1"/>
        <v>0.21698113207547171</v>
      </c>
    </row>
    <row r="24" spans="1:10" x14ac:dyDescent="0.15">
      <c r="A24">
        <v>15</v>
      </c>
      <c r="B24">
        <v>195</v>
      </c>
      <c r="C24">
        <v>75</v>
      </c>
      <c r="D24">
        <v>300</v>
      </c>
      <c r="E24">
        <f t="shared" si="0"/>
        <v>0.25</v>
      </c>
      <c r="G24">
        <v>224</v>
      </c>
      <c r="H24">
        <v>78</v>
      </c>
      <c r="I24">
        <v>296</v>
      </c>
      <c r="J24">
        <f t="shared" si="1"/>
        <v>0.26351351351351349</v>
      </c>
    </row>
    <row r="25" spans="1:10" x14ac:dyDescent="0.15">
      <c r="A25">
        <v>28</v>
      </c>
      <c r="B25">
        <v>195</v>
      </c>
      <c r="C25">
        <v>21</v>
      </c>
      <c r="D25">
        <v>107</v>
      </c>
      <c r="E25">
        <f t="shared" si="0"/>
        <v>0.19626168224299065</v>
      </c>
      <c r="G25">
        <v>230</v>
      </c>
      <c r="H25">
        <v>21</v>
      </c>
      <c r="I25">
        <v>62</v>
      </c>
      <c r="J25">
        <f>H25/I25</f>
        <v>0.33870967741935482</v>
      </c>
    </row>
    <row r="26" spans="1:10" x14ac:dyDescent="0.15">
      <c r="A26">
        <v>30</v>
      </c>
      <c r="B26">
        <v>195</v>
      </c>
      <c r="C26">
        <v>42</v>
      </c>
      <c r="D26">
        <v>196</v>
      </c>
      <c r="E26">
        <f t="shared" si="0"/>
        <v>0.21428571428571427</v>
      </c>
      <c r="G26">
        <v>239</v>
      </c>
      <c r="H26">
        <v>13</v>
      </c>
      <c r="I26">
        <v>79</v>
      </c>
      <c r="J26">
        <f>H26/I26</f>
        <v>0.16455696202531644</v>
      </c>
    </row>
    <row r="27" spans="1:10" x14ac:dyDescent="0.15">
      <c r="A27">
        <v>18</v>
      </c>
      <c r="B27">
        <v>210</v>
      </c>
      <c r="C27">
        <v>21</v>
      </c>
      <c r="D27">
        <v>102</v>
      </c>
      <c r="E27">
        <f t="shared" si="0"/>
        <v>0.20588235294117646</v>
      </c>
      <c r="G27">
        <v>247</v>
      </c>
      <c r="H27">
        <v>29</v>
      </c>
      <c r="I27">
        <v>254</v>
      </c>
      <c r="J27">
        <f>H27/I27</f>
        <v>0.1141732283464567</v>
      </c>
    </row>
    <row r="28" spans="1:10" x14ac:dyDescent="0.15">
      <c r="A28">
        <v>24</v>
      </c>
      <c r="B28">
        <v>210</v>
      </c>
      <c r="C28">
        <v>32</v>
      </c>
      <c r="D28">
        <v>156</v>
      </c>
      <c r="E28">
        <f t="shared" si="0"/>
        <v>0.20512820512820512</v>
      </c>
      <c r="G28">
        <v>265</v>
      </c>
      <c r="H28">
        <f>SUM(C38:C43)</f>
        <v>161</v>
      </c>
      <c r="I28">
        <f>SUM(D38:D43)</f>
        <v>691</v>
      </c>
      <c r="J28">
        <f t="shared" ref="J28:J29" si="2">H28/I28</f>
        <v>0.23299565846599132</v>
      </c>
    </row>
    <row r="29" spans="1:10" x14ac:dyDescent="0.15">
      <c r="A29">
        <v>8</v>
      </c>
      <c r="B29">
        <v>211</v>
      </c>
      <c r="C29">
        <v>62</v>
      </c>
      <c r="D29">
        <v>186</v>
      </c>
      <c r="E29">
        <f t="shared" si="0"/>
        <v>0.33333333333333331</v>
      </c>
      <c r="G29">
        <v>277</v>
      </c>
      <c r="H29">
        <f>SUM(C44:C48)</f>
        <v>71</v>
      </c>
      <c r="I29">
        <f>SUM(D44:D48)</f>
        <v>734</v>
      </c>
      <c r="J29">
        <f t="shared" si="2"/>
        <v>9.6730245231607628E-2</v>
      </c>
    </row>
    <row r="30" spans="1:10" x14ac:dyDescent="0.15">
      <c r="A30">
        <v>10</v>
      </c>
      <c r="B30">
        <v>211</v>
      </c>
      <c r="C30">
        <v>23</v>
      </c>
      <c r="D30">
        <v>81</v>
      </c>
      <c r="E30">
        <f t="shared" si="0"/>
        <v>0.2839506172839506</v>
      </c>
    </row>
    <row r="31" spans="1:10" x14ac:dyDescent="0.15">
      <c r="A31">
        <v>13</v>
      </c>
      <c r="B31">
        <v>215</v>
      </c>
      <c r="C31">
        <v>63</v>
      </c>
      <c r="D31">
        <v>289</v>
      </c>
      <c r="E31">
        <f t="shared" si="0"/>
        <v>0.2179930795847751</v>
      </c>
    </row>
    <row r="32" spans="1:10" x14ac:dyDescent="0.15">
      <c r="A32">
        <v>5</v>
      </c>
      <c r="B32">
        <v>216</v>
      </c>
      <c r="C32">
        <v>6</v>
      </c>
      <c r="D32">
        <v>29</v>
      </c>
      <c r="E32">
        <f t="shared" si="0"/>
        <v>0.20689655172413793</v>
      </c>
    </row>
    <row r="33" spans="1:8" x14ac:dyDescent="0.15">
      <c r="A33">
        <v>6</v>
      </c>
      <c r="B33">
        <v>224</v>
      </c>
      <c r="C33">
        <v>10</v>
      </c>
      <c r="D33">
        <v>26</v>
      </c>
      <c r="E33">
        <f t="shared" si="0"/>
        <v>0.38461538461538464</v>
      </c>
      <c r="G33" t="s">
        <v>0</v>
      </c>
      <c r="H33" t="s">
        <v>3</v>
      </c>
    </row>
    <row r="34" spans="1:8" x14ac:dyDescent="0.15">
      <c r="A34">
        <v>14</v>
      </c>
      <c r="B34">
        <v>225</v>
      </c>
      <c r="C34">
        <v>68</v>
      </c>
      <c r="D34">
        <v>270</v>
      </c>
      <c r="E34">
        <f t="shared" si="0"/>
        <v>0.25185185185185183</v>
      </c>
      <c r="G34">
        <v>156</v>
      </c>
      <c r="H34">
        <v>0.40972222222222221</v>
      </c>
    </row>
    <row r="35" spans="1:8" x14ac:dyDescent="0.15">
      <c r="A35">
        <v>26</v>
      </c>
      <c r="B35">
        <v>230</v>
      </c>
      <c r="C35">
        <v>21</v>
      </c>
      <c r="D35">
        <v>62</v>
      </c>
      <c r="E35">
        <f t="shared" si="0"/>
        <v>0.33870967741935482</v>
      </c>
      <c r="G35">
        <v>175</v>
      </c>
      <c r="H35">
        <v>0.29729729729729731</v>
      </c>
    </row>
    <row r="36" spans="1:8" x14ac:dyDescent="0.15">
      <c r="A36">
        <v>25</v>
      </c>
      <c r="B36">
        <v>239</v>
      </c>
      <c r="C36">
        <v>13</v>
      </c>
      <c r="D36">
        <v>79</v>
      </c>
      <c r="E36">
        <f t="shared" si="0"/>
        <v>0.16455696202531644</v>
      </c>
      <c r="G36">
        <v>194</v>
      </c>
      <c r="H36">
        <v>0.21408450704225351</v>
      </c>
    </row>
    <row r="37" spans="1:8" x14ac:dyDescent="0.15">
      <c r="A37">
        <v>4</v>
      </c>
      <c r="B37">
        <v>247</v>
      </c>
      <c r="C37">
        <v>29</v>
      </c>
      <c r="D37">
        <v>254</v>
      </c>
      <c r="E37">
        <f t="shared" si="0"/>
        <v>0.1141732283464567</v>
      </c>
      <c r="G37">
        <v>210</v>
      </c>
      <c r="H37">
        <v>0.26285714285714284</v>
      </c>
    </row>
    <row r="38" spans="1:8" x14ac:dyDescent="0.15">
      <c r="A38">
        <v>17</v>
      </c>
      <c r="B38">
        <v>264</v>
      </c>
      <c r="C38">
        <v>18</v>
      </c>
      <c r="D38">
        <v>128</v>
      </c>
      <c r="E38">
        <f t="shared" si="0"/>
        <v>0.140625</v>
      </c>
      <c r="G38">
        <v>215</v>
      </c>
      <c r="H38">
        <v>0.21698113207547171</v>
      </c>
    </row>
    <row r="39" spans="1:8" x14ac:dyDescent="0.15">
      <c r="A39">
        <v>23</v>
      </c>
      <c r="B39">
        <v>264</v>
      </c>
      <c r="C39">
        <v>28</v>
      </c>
      <c r="D39">
        <v>126</v>
      </c>
      <c r="E39">
        <f t="shared" si="0"/>
        <v>0.22222222222222221</v>
      </c>
      <c r="G39">
        <v>224</v>
      </c>
      <c r="H39">
        <v>0.26351351351351349</v>
      </c>
    </row>
    <row r="40" spans="1:8" x14ac:dyDescent="0.15">
      <c r="A40">
        <v>7</v>
      </c>
      <c r="B40">
        <v>265</v>
      </c>
      <c r="C40">
        <v>67</v>
      </c>
      <c r="D40">
        <v>249</v>
      </c>
      <c r="E40">
        <f t="shared" si="0"/>
        <v>0.26907630522088355</v>
      </c>
      <c r="G40">
        <v>230</v>
      </c>
      <c r="H40">
        <v>0.33870967741935482</v>
      </c>
    </row>
    <row r="41" spans="1:8" x14ac:dyDescent="0.15">
      <c r="A41">
        <v>9</v>
      </c>
      <c r="B41">
        <v>265</v>
      </c>
      <c r="C41">
        <v>35</v>
      </c>
      <c r="D41">
        <v>94</v>
      </c>
      <c r="E41">
        <f t="shared" si="0"/>
        <v>0.37234042553191488</v>
      </c>
      <c r="G41">
        <v>239</v>
      </c>
      <c r="H41">
        <v>0.16455696202531644</v>
      </c>
    </row>
    <row r="42" spans="1:8" x14ac:dyDescent="0.15">
      <c r="A42">
        <v>16</v>
      </c>
      <c r="B42">
        <v>266</v>
      </c>
      <c r="C42">
        <v>10</v>
      </c>
      <c r="D42">
        <v>58</v>
      </c>
      <c r="E42">
        <f t="shared" si="0"/>
        <v>0.17241379310344829</v>
      </c>
      <c r="G42">
        <v>247</v>
      </c>
      <c r="H42">
        <v>0.1141732283464567</v>
      </c>
    </row>
    <row r="43" spans="1:8" x14ac:dyDescent="0.15">
      <c r="A43">
        <v>20</v>
      </c>
      <c r="B43">
        <v>266</v>
      </c>
      <c r="C43">
        <v>3</v>
      </c>
      <c r="D43">
        <v>36</v>
      </c>
      <c r="E43">
        <f t="shared" si="0"/>
        <v>8.3333333333333329E-2</v>
      </c>
      <c r="G43">
        <v>265</v>
      </c>
      <c r="H43">
        <v>0.23299565846599132</v>
      </c>
    </row>
    <row r="44" spans="1:8" x14ac:dyDescent="0.15">
      <c r="A44">
        <v>11</v>
      </c>
      <c r="B44">
        <v>276</v>
      </c>
      <c r="C44">
        <v>12</v>
      </c>
      <c r="D44">
        <v>71</v>
      </c>
      <c r="E44">
        <f t="shared" si="0"/>
        <v>0.16901408450704225</v>
      </c>
      <c r="G44">
        <v>277</v>
      </c>
      <c r="H44">
        <v>9.6730245231607628E-2</v>
      </c>
    </row>
    <row r="45" spans="1:8" x14ac:dyDescent="0.15">
      <c r="A45">
        <v>21</v>
      </c>
      <c r="B45">
        <v>277</v>
      </c>
      <c r="C45">
        <v>22</v>
      </c>
      <c r="D45">
        <v>202</v>
      </c>
      <c r="E45">
        <f t="shared" si="0"/>
        <v>0.10891089108910891</v>
      </c>
    </row>
    <row r="46" spans="1:8" x14ac:dyDescent="0.15">
      <c r="A46">
        <v>27</v>
      </c>
      <c r="B46">
        <v>277</v>
      </c>
      <c r="C46">
        <v>7</v>
      </c>
      <c r="D46">
        <v>88</v>
      </c>
      <c r="E46">
        <f t="shared" si="0"/>
        <v>7.9545454545454544E-2</v>
      </c>
    </row>
    <row r="47" spans="1:8" x14ac:dyDescent="0.15">
      <c r="A47">
        <v>29</v>
      </c>
      <c r="B47">
        <v>277</v>
      </c>
      <c r="C47">
        <v>4</v>
      </c>
      <c r="D47">
        <v>157</v>
      </c>
      <c r="E47">
        <f t="shared" si="0"/>
        <v>2.5477707006369428E-2</v>
      </c>
    </row>
    <row r="48" spans="1:8" x14ac:dyDescent="0.15">
      <c r="A48">
        <v>2</v>
      </c>
      <c r="B48">
        <v>278</v>
      </c>
      <c r="C48">
        <v>26</v>
      </c>
      <c r="D48">
        <v>216</v>
      </c>
      <c r="E48">
        <f t="shared" si="0"/>
        <v>0.12037037037037036</v>
      </c>
    </row>
    <row r="51" spans="1:2" x14ac:dyDescent="0.15">
      <c r="A51" s="1" t="s">
        <v>20</v>
      </c>
    </row>
    <row r="53" spans="1:2" x14ac:dyDescent="0.15">
      <c r="A53" s="1" t="s">
        <v>3</v>
      </c>
      <c r="B53">
        <f>0.6516-0.0019*200</f>
        <v>0.27159999999999995</v>
      </c>
    </row>
    <row r="54" spans="1:2" x14ac:dyDescent="0.15">
      <c r="A54" s="1" t="s">
        <v>2</v>
      </c>
      <c r="B54">
        <f>25/B53</f>
        <v>92.04712812960237</v>
      </c>
    </row>
    <row r="57" spans="1:2" x14ac:dyDescent="0.15">
      <c r="A57" s="1" t="s">
        <v>21</v>
      </c>
    </row>
  </sheetData>
  <sortState xmlns:xlrd2="http://schemas.microsoft.com/office/spreadsheetml/2017/richdata2" ref="A19:E48">
    <sortCondition ref="B19:B48"/>
  </sortState>
  <pageMargins left="0.78740157499999996" right="0.78740157499999996" top="0.984251969" bottom="0.984251969" header="0.4921259845" footer="0.492125984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Salzwasserkroko.xls</vt:lpstr>
    </vt:vector>
  </TitlesOfParts>
  <Company>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</dc:creator>
  <cp:lastModifiedBy>Microsoft Office User</cp:lastModifiedBy>
  <dcterms:created xsi:type="dcterms:W3CDTF">2021-07-01T11:50:54Z</dcterms:created>
  <dcterms:modified xsi:type="dcterms:W3CDTF">2025-10-24T09:53:17Z</dcterms:modified>
</cp:coreProperties>
</file>