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C8043F44-3EE7-C24A-BB45-2CF8DB68A762}" xr6:coauthVersionLast="47" xr6:coauthVersionMax="47" xr10:uidLastSave="{00000000-0000-0000-0000-000000000000}"/>
  <bookViews>
    <workbookView xWindow="4800" yWindow="500" windowWidth="19020" windowHeight="15100" tabRatio="500" xr2:uid="{00000000-000D-0000-FFFF-FFFF00000000}"/>
  </bookViews>
  <sheets>
    <sheet name="Lazulifi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C53" i="1" s="1"/>
  <c r="E53" i="1" s="1"/>
  <c r="B54" i="1"/>
  <c r="D54" i="1" s="1"/>
  <c r="B55" i="1"/>
  <c r="D55" i="1" s="1"/>
  <c r="B56" i="1"/>
  <c r="D56" i="1" s="1"/>
  <c r="B52" i="1"/>
  <c r="D52" i="1" s="1"/>
  <c r="C56" i="1" l="1"/>
  <c r="E56" i="1" s="1"/>
  <c r="C55" i="1"/>
  <c r="E55" i="1" s="1"/>
  <c r="C54" i="1"/>
  <c r="E54" i="1" s="1"/>
  <c r="C52" i="1"/>
  <c r="E52" i="1" s="1"/>
  <c r="D53" i="1"/>
  <c r="F39" i="1"/>
  <c r="F40" i="1"/>
  <c r="G39" i="1" s="1"/>
  <c r="H39" i="1" s="1"/>
  <c r="I39" i="1" s="1"/>
  <c r="F41" i="1"/>
  <c r="G40" i="1" s="1"/>
  <c r="H40" i="1" s="1"/>
  <c r="I40" i="1" s="1"/>
  <c r="F42" i="1"/>
  <c r="F43" i="1"/>
  <c r="F44" i="1"/>
  <c r="G43" i="1"/>
  <c r="H43" i="1" s="1"/>
  <c r="I43" i="1" s="1"/>
  <c r="F26" i="1"/>
  <c r="F27" i="1"/>
  <c r="G26" i="1" s="1"/>
  <c r="H26" i="1" s="1"/>
  <c r="I26" i="1" s="1"/>
  <c r="F28" i="1"/>
  <c r="G27" i="1" s="1"/>
  <c r="H27" i="1" s="1"/>
  <c r="I27" i="1" s="1"/>
  <c r="F29" i="1"/>
  <c r="F30" i="1"/>
  <c r="F31" i="1"/>
  <c r="G31" i="1" s="1"/>
  <c r="F25" i="1"/>
  <c r="G41" i="1" l="1"/>
  <c r="H41" i="1" s="1"/>
  <c r="I41" i="1" s="1"/>
  <c r="G29" i="1"/>
  <c r="H29" i="1" s="1"/>
  <c r="I29" i="1" s="1"/>
  <c r="G28" i="1"/>
  <c r="H28" i="1" s="1"/>
  <c r="I28" i="1" s="1"/>
  <c r="G25" i="1"/>
  <c r="H25" i="1" s="1"/>
  <c r="I25" i="1" s="1"/>
  <c r="G30" i="1"/>
  <c r="H30" i="1" s="1"/>
  <c r="I30" i="1" s="1"/>
  <c r="G42" i="1"/>
  <c r="H42" i="1" s="1"/>
  <c r="I42" i="1" s="1"/>
</calcChain>
</file>

<file path=xl/sharedStrings.xml><?xml version="1.0" encoding="utf-8"?>
<sst xmlns="http://schemas.openxmlformats.org/spreadsheetml/2006/main" count="73" uniqueCount="47">
  <si>
    <t>zi</t>
  </si>
  <si>
    <t>Ti</t>
  </si>
  <si>
    <t>i</t>
  </si>
  <si>
    <t>Mi</t>
  </si>
  <si>
    <t>–</t>
  </si>
  <si>
    <t>Rneu;i</t>
  </si>
  <si>
    <t>rneu;i</t>
  </si>
  <si>
    <t>rwf;i</t>
  </si>
  <si>
    <t>mwfi</t>
  </si>
  <si>
    <t>mneu;i</t>
  </si>
  <si>
    <t>Rwf;i</t>
  </si>
  <si>
    <t>Kohorte Neufänge (Durchzügler+Residente)</t>
  </si>
  <si>
    <t>Für die Fangstatistiken und Berechnungen der Schätzwerte sind den relevanten Parametern neu für die Erstfangkohorte und wf für die Wiederfangkohorte hinzugefügt</t>
  </si>
  <si>
    <t>Tab. 11.19 Beispiel 11.9, Berechnung der Überlebensrate und des Anteils von Durchzüglern des Lazulifink (Passerina amoena)</t>
  </si>
  <si>
    <t>Datenquelle</t>
  </si>
  <si>
    <t>Burnham, K.P., Anderson, D.R., White, G.C. et al. (1987): Design and Analysis Methods for Fish Survival Experiments Based on Release-recapture. – American Fisheries Society Monograph 5</t>
  </si>
  <si>
    <t>Parameterdefinitionen</t>
  </si>
  <si>
    <t>Fanggelegenheit</t>
  </si>
  <si>
    <t>Rwfi</t>
  </si>
  <si>
    <t>Rneui</t>
  </si>
  <si>
    <t>rneui</t>
  </si>
  <si>
    <t>rwfi</t>
  </si>
  <si>
    <r>
      <rPr>
        <sz val="10"/>
        <rFont val="Symbol"/>
        <charset val="2"/>
      </rPr>
      <t>f</t>
    </r>
    <r>
      <rPr>
        <sz val="10"/>
        <rFont val="Geneva"/>
        <family val="2"/>
      </rPr>
      <t>i</t>
    </r>
  </si>
  <si>
    <r>
      <t>Var(</t>
    </r>
    <r>
      <rPr>
        <sz val="10"/>
        <rFont val="Symbol"/>
        <charset val="2"/>
      </rPr>
      <t>f</t>
    </r>
    <r>
      <rPr>
        <sz val="10"/>
        <rFont val="Geneva"/>
        <family val="2"/>
      </rPr>
      <t>i)</t>
    </r>
  </si>
  <si>
    <r>
      <t>s.e. (</t>
    </r>
    <r>
      <rPr>
        <sz val="10"/>
        <rFont val="Symbol"/>
        <charset val="2"/>
      </rPr>
      <t>f</t>
    </r>
    <r>
      <rPr>
        <sz val="10"/>
        <rFont val="Geneva"/>
        <family val="2"/>
      </rPr>
      <t>i)</t>
    </r>
  </si>
  <si>
    <t>s.e.</t>
  </si>
  <si>
    <t>Standarfehler</t>
  </si>
  <si>
    <t>zj</t>
  </si>
  <si>
    <t>mi</t>
  </si>
  <si>
    <t>Überlebensrate von Jahr i zum Jahr i+1</t>
  </si>
  <si>
    <t>Fangstatistiken und Parameterschätzungen</t>
  </si>
  <si>
    <t>Kohorte Wiederfänge im gleichen Jahr (Residente)</t>
  </si>
  <si>
    <t>Anteil der Durchzügler</t>
  </si>
  <si>
    <t>ti</t>
  </si>
  <si>
    <t>Wahrscheinlichkeit, dass ein erstmalig gefangenes Individuum ein Durchzügler ist</t>
  </si>
  <si>
    <t>Berechnung des Anteil Durchzügler und der Wahrscheinlichkeit, dass ein erstmalig gefangenes Individuum ein Durchzügler ist</t>
  </si>
  <si>
    <t>s.e. (ti)</t>
  </si>
  <si>
    <t>s.e. (Ti)</t>
  </si>
  <si>
    <r>
      <t xml:space="preserve">Hier ist </t>
    </r>
    <r>
      <rPr>
        <sz val="10"/>
        <rFont val="Symbol"/>
        <charset val="2"/>
      </rPr>
      <t>f</t>
    </r>
    <r>
      <rPr>
        <sz val="10"/>
        <rFont val="Geneva"/>
      </rPr>
      <t>i die gewichtete Überlebenswahrscheinlichkeit für Durchzügler und Residente</t>
    </r>
  </si>
  <si>
    <r>
      <t xml:space="preserve">Anzahl der bei Fanggelegenheit </t>
    </r>
    <r>
      <rPr>
        <i/>
        <sz val="12"/>
        <rFont val="Geneva"/>
        <family val="2"/>
      </rPr>
      <t>i</t>
    </r>
    <r>
      <rPr>
        <sz val="12"/>
        <rFont val="Geneva"/>
        <family val="2"/>
      </rPr>
      <t xml:space="preserve"> markiert gefangenen Exemplare (d. h. Wiederfänge)</t>
    </r>
  </si>
  <si>
    <r>
      <t xml:space="preserve">Anzahl der zum Zeitpunkt </t>
    </r>
    <r>
      <rPr>
        <i/>
        <sz val="12"/>
        <rFont val="Geneva"/>
        <family val="2"/>
      </rPr>
      <t>i</t>
    </r>
    <r>
      <rPr>
        <sz val="12"/>
        <rFont val="Geneva"/>
        <family val="2"/>
      </rPr>
      <t xml:space="preserve"> erstmals gefangenen Individuen (d. h. Neufänge)</t>
    </r>
  </si>
  <si>
    <r>
      <t xml:space="preserve">Anzahl der zum Zeitpunkt </t>
    </r>
    <r>
      <rPr>
        <i/>
        <sz val="12"/>
        <rFont val="Geneva"/>
        <family val="2"/>
      </rPr>
      <t>i</t>
    </r>
    <r>
      <rPr>
        <sz val="12"/>
        <rFont val="Geneva"/>
        <family val="2"/>
      </rPr>
      <t xml:space="preserve"> markierten Exemplare, die später wiedergefangen werden</t>
    </r>
  </si>
  <si>
    <r>
      <t xml:space="preserve">Anzahl der bei der Fanggelegenheit </t>
    </r>
    <r>
      <rPr>
        <i/>
        <sz val="12"/>
        <rFont val="Geneva"/>
        <family val="2"/>
      </rPr>
      <t>i</t>
    </r>
    <r>
      <rPr>
        <sz val="12"/>
        <rFont val="Geneva"/>
        <family val="2"/>
      </rPr>
      <t xml:space="preserve"> markiert gefangenen Individuen, die später wiedergefangen </t>
    </r>
    <r>
      <rPr>
        <sz val="8"/>
        <rFont val="Geneva"/>
        <family val="2"/>
      </rPr>
      <t> </t>
    </r>
    <r>
      <rPr>
        <sz val="12"/>
        <rFont val="Geneva"/>
        <family val="2"/>
      </rPr>
      <t>werden</t>
    </r>
  </si>
  <si>
    <r>
      <t xml:space="preserve">Anzahl markierter Individuen, die bei der </t>
    </r>
    <r>
      <rPr>
        <i/>
        <sz val="12"/>
        <rFont val="Geneva"/>
        <family val="2"/>
      </rPr>
      <t>i</t>
    </r>
    <r>
      <rPr>
        <sz val="12"/>
        <rFont val="Geneva"/>
        <family val="2"/>
      </rPr>
      <t>-ten Erfassung gefangen/beobachtet wurden</t>
    </r>
  </si>
  <si>
    <r>
      <t xml:space="preserve">Anzahl markierter Tiere, die sich zum Zeitpunkt der </t>
    </r>
    <r>
      <rPr>
        <i/>
        <sz val="12"/>
        <rFont val="Geneva"/>
        <family val="2"/>
      </rPr>
      <t>i</t>
    </r>
    <r>
      <rPr>
        <sz val="12"/>
        <rFont val="Geneva"/>
        <family val="2"/>
      </rPr>
      <t>-ten Erfassung in der Population befinden</t>
    </r>
  </si>
  <si>
    <r>
      <t xml:space="preserve">Anzahl der Exemplare, die vor Jahr </t>
    </r>
    <r>
      <rPr>
        <i/>
        <sz val="12"/>
        <rFont val="Geneva"/>
        <family val="2"/>
      </rPr>
      <t xml:space="preserve">j </t>
    </r>
    <r>
      <rPr>
        <sz val="12"/>
        <rFont val="Geneva"/>
        <family val="2"/>
      </rPr>
      <t xml:space="preserve">markiert wurden, im Jahr </t>
    </r>
    <r>
      <rPr>
        <i/>
        <sz val="12"/>
        <rFont val="Geneva"/>
        <family val="2"/>
      </rPr>
      <t>j</t>
    </r>
    <r>
      <rPr>
        <sz val="12"/>
        <rFont val="Geneva"/>
        <family val="2"/>
      </rPr>
      <t xml:space="preserve"> nicht, aber in einem späteren Jahr wiedergefangen wurden</t>
    </r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</si>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</sst>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Geneva"/>
    </font>
    <font>
      <sz val="10"/>
      <name val="Geneva"/>
      <family val="2"/>
    </font>
    <font>
      <b/>
      <sz val="10"/>
      <name val="Arial"/>
      <family val="2"/>
    </font>
    <font>
      <sz val="12"/>
      <name val="Times New Roman"/>
      <family val="1"/>
    </font>
    <font>
      <sz val="10"/>
      <name val="Symbol"/>
      <charset val="2"/>
    </font>
    <font>
      <sz val="10"/>
      <name val="Geneva"/>
      <family val="2"/>
      <charset val="2"/>
    </font>
    <font>
      <b/>
      <sz val="10"/>
      <name val="Geneva"/>
      <family val="2"/>
    </font>
    <font>
      <sz val="12"/>
      <name val="Geneva"/>
      <family val="2"/>
    </font>
    <font>
      <i/>
      <sz val="12"/>
      <name val="Geneva"/>
      <family val="2"/>
    </font>
    <font>
      <sz val="8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topLeftCell="A19" workbookViewId="0">
      <selection activeCell="A33" sqref="A33"/>
    </sheetView>
  </sheetViews>
  <sheetFormatPr baseColWidth="10" defaultRowHeight="14" x14ac:dyDescent="0.2"/>
  <sheetData>
    <row r="1" spans="1:2" x14ac:dyDescent="0.2">
      <c r="A1" s="9" t="s">
        <v>13</v>
      </c>
    </row>
    <row r="2" spans="1:2" ht="16" x14ac:dyDescent="0.2">
      <c r="A2" s="3" t="s">
        <v>14</v>
      </c>
      <c r="B2" s="7" t="s">
        <v>15</v>
      </c>
    </row>
    <row r="3" spans="1:2" x14ac:dyDescent="0.2">
      <c r="A3" s="6"/>
    </row>
    <row r="4" spans="1:2" x14ac:dyDescent="0.2">
      <c r="A4" s="9" t="s">
        <v>16</v>
      </c>
      <c r="B4" s="3"/>
    </row>
    <row r="5" spans="1:2" x14ac:dyDescent="0.2">
      <c r="A5" s="3" t="s">
        <v>2</v>
      </c>
      <c r="B5" s="3" t="s">
        <v>17</v>
      </c>
    </row>
    <row r="6" spans="1:2" ht="16" x14ac:dyDescent="0.2">
      <c r="A6" s="3" t="s">
        <v>18</v>
      </c>
      <c r="B6" s="10" t="s">
        <v>39</v>
      </c>
    </row>
    <row r="7" spans="1:2" ht="16" x14ac:dyDescent="0.2">
      <c r="A7" s="3" t="s">
        <v>19</v>
      </c>
      <c r="B7" s="10" t="s">
        <v>40</v>
      </c>
    </row>
    <row r="8" spans="1:2" ht="16" x14ac:dyDescent="0.2">
      <c r="A8" s="3" t="s">
        <v>20</v>
      </c>
      <c r="B8" s="10" t="s">
        <v>41</v>
      </c>
    </row>
    <row r="9" spans="1:2" ht="16" x14ac:dyDescent="0.2">
      <c r="A9" s="3" t="s">
        <v>21</v>
      </c>
      <c r="B9" s="10" t="s">
        <v>42</v>
      </c>
    </row>
    <row r="10" spans="1:2" ht="16" x14ac:dyDescent="0.2">
      <c r="A10" s="3" t="s">
        <v>28</v>
      </c>
      <c r="B10" s="10" t="s">
        <v>43</v>
      </c>
    </row>
    <row r="11" spans="1:2" ht="16" x14ac:dyDescent="0.2">
      <c r="A11" s="3" t="s">
        <v>3</v>
      </c>
      <c r="B11" s="10" t="s">
        <v>44</v>
      </c>
    </row>
    <row r="12" spans="1:2" ht="16" x14ac:dyDescent="0.2">
      <c r="A12" s="3" t="s">
        <v>33</v>
      </c>
      <c r="B12" s="10" t="s">
        <v>34</v>
      </c>
    </row>
    <row r="13" spans="1:2" ht="16" x14ac:dyDescent="0.2">
      <c r="A13" s="3" t="s">
        <v>1</v>
      </c>
      <c r="B13" s="10" t="s">
        <v>32</v>
      </c>
    </row>
    <row r="14" spans="1:2" ht="16" x14ac:dyDescent="0.2">
      <c r="A14" s="3" t="s">
        <v>27</v>
      </c>
      <c r="B14" s="10" t="s">
        <v>45</v>
      </c>
    </row>
    <row r="15" spans="1:2" ht="16" x14ac:dyDescent="0.2">
      <c r="A15" s="3" t="s">
        <v>46</v>
      </c>
      <c r="B15" s="10" t="s">
        <v>29</v>
      </c>
    </row>
    <row r="16" spans="1:2" x14ac:dyDescent="0.2">
      <c r="A16" s="3" t="s">
        <v>25</v>
      </c>
      <c r="B16" s="3" t="s">
        <v>26</v>
      </c>
    </row>
    <row r="17" spans="1:13" x14ac:dyDescent="0.2">
      <c r="A17" s="6"/>
    </row>
    <row r="18" spans="1:13" x14ac:dyDescent="0.2">
      <c r="A18" s="3" t="s">
        <v>12</v>
      </c>
    </row>
    <row r="19" spans="1:13" x14ac:dyDescent="0.2">
      <c r="A19" s="6"/>
    </row>
    <row r="20" spans="1:13" x14ac:dyDescent="0.2">
      <c r="A20" s="3"/>
    </row>
    <row r="21" spans="1:13" x14ac:dyDescent="0.2">
      <c r="A21" s="9" t="s">
        <v>30</v>
      </c>
    </row>
    <row r="23" spans="1:13" x14ac:dyDescent="0.2">
      <c r="A23" s="9" t="s">
        <v>11</v>
      </c>
    </row>
    <row r="24" spans="1:13" x14ac:dyDescent="0.2">
      <c r="A24" t="s">
        <v>2</v>
      </c>
      <c r="B24" t="s">
        <v>5</v>
      </c>
      <c r="C24" t="s">
        <v>9</v>
      </c>
      <c r="D24" t="s">
        <v>6</v>
      </c>
      <c r="E24" t="s">
        <v>0</v>
      </c>
      <c r="F24" t="s">
        <v>3</v>
      </c>
      <c r="G24" s="8" t="s">
        <v>22</v>
      </c>
      <c r="H24" s="3" t="s">
        <v>23</v>
      </c>
      <c r="I24" s="3" t="s">
        <v>24</v>
      </c>
    </row>
    <row r="25" spans="1:13" x14ac:dyDescent="0.2">
      <c r="A25">
        <v>1</v>
      </c>
      <c r="B25">
        <v>168</v>
      </c>
      <c r="C25">
        <v>0</v>
      </c>
      <c r="D25">
        <v>36</v>
      </c>
      <c r="E25">
        <v>0</v>
      </c>
      <c r="F25" s="2">
        <f t="shared" ref="F25:F31" si="0">C25+B25*E25/D25</f>
        <v>0</v>
      </c>
      <c r="G25" s="1">
        <f t="shared" ref="G25:G31" si="1">F26/(F25-C25+B25)</f>
        <v>0.57461734693877553</v>
      </c>
      <c r="H25" s="1">
        <f>G25^2*((1/D26-1/B26)*(F26-C26)*(F26-C26+B26)/F26^2+(F25-C25)/(F25-C25+B25)*(1/D25-1/B25))</f>
        <v>3.3132716859976499E-2</v>
      </c>
      <c r="I25" s="1">
        <f>H25^0.5</f>
        <v>0.18202394584223389</v>
      </c>
      <c r="J25" s="1"/>
      <c r="K25" s="1"/>
      <c r="L25" s="1"/>
      <c r="M25" s="1"/>
    </row>
    <row r="26" spans="1:13" x14ac:dyDescent="0.2">
      <c r="A26">
        <v>2</v>
      </c>
      <c r="B26">
        <v>367</v>
      </c>
      <c r="C26">
        <v>31</v>
      </c>
      <c r="D26">
        <v>28</v>
      </c>
      <c r="E26">
        <v>5</v>
      </c>
      <c r="F26" s="2">
        <f t="shared" si="0"/>
        <v>96.535714285714292</v>
      </c>
      <c r="G26" s="1">
        <f t="shared" si="1"/>
        <v>0.26923683203098608</v>
      </c>
      <c r="H26" s="1">
        <f t="shared" ref="H26:H30" si="2">G26^2*((1/D27-1/B27)*(F27-C27)*(F27-C27+B27)/F27^2+(F26-C26)/(F26-C26+B26)*(1/D26-1/B26))</f>
        <v>7.0718564490744292E-3</v>
      </c>
      <c r="I26" s="1">
        <f t="shared" ref="I26:I30" si="3">H26^0.5</f>
        <v>8.409433065953037E-2</v>
      </c>
      <c r="J26" s="1"/>
      <c r="K26" s="1"/>
      <c r="L26" s="1"/>
      <c r="M26" s="1"/>
    </row>
    <row r="27" spans="1:13" x14ac:dyDescent="0.2">
      <c r="A27">
        <v>3</v>
      </c>
      <c r="B27">
        <v>65</v>
      </c>
      <c r="C27">
        <v>16</v>
      </c>
      <c r="D27">
        <v>11</v>
      </c>
      <c r="E27">
        <v>17</v>
      </c>
      <c r="F27" s="2">
        <f t="shared" si="0"/>
        <v>116.45454545454545</v>
      </c>
      <c r="G27" s="1">
        <f t="shared" si="1"/>
        <v>0.54320054945054952</v>
      </c>
      <c r="H27" s="1">
        <f t="shared" si="2"/>
        <v>3.4852383268803952E-2</v>
      </c>
      <c r="I27" s="1">
        <f t="shared" si="3"/>
        <v>0.18668793016369309</v>
      </c>
      <c r="J27" s="1"/>
      <c r="K27" s="1"/>
      <c r="L27" s="1"/>
      <c r="M27" s="1"/>
    </row>
    <row r="28" spans="1:13" x14ac:dyDescent="0.2">
      <c r="A28">
        <v>4</v>
      </c>
      <c r="B28">
        <v>230</v>
      </c>
      <c r="C28">
        <v>18</v>
      </c>
      <c r="D28">
        <v>32</v>
      </c>
      <c r="E28">
        <v>10</v>
      </c>
      <c r="F28" s="2">
        <f t="shared" si="0"/>
        <v>89.875</v>
      </c>
      <c r="G28" s="1">
        <f t="shared" si="1"/>
        <v>0.25551839464882942</v>
      </c>
      <c r="H28" s="1">
        <f t="shared" si="2"/>
        <v>2.6361100740703537E-3</v>
      </c>
      <c r="I28" s="1">
        <f t="shared" si="3"/>
        <v>5.1343062570033293E-2</v>
      </c>
      <c r="J28" s="1"/>
      <c r="K28" s="1"/>
      <c r="L28" s="1"/>
      <c r="M28" s="1"/>
    </row>
    <row r="29" spans="1:13" x14ac:dyDescent="0.2">
      <c r="A29">
        <v>5</v>
      </c>
      <c r="B29">
        <v>255</v>
      </c>
      <c r="C29">
        <v>33</v>
      </c>
      <c r="D29">
        <v>52</v>
      </c>
      <c r="E29">
        <v>9</v>
      </c>
      <c r="F29" s="2">
        <f t="shared" si="0"/>
        <v>77.134615384615387</v>
      </c>
      <c r="G29" s="1">
        <f t="shared" si="1"/>
        <v>0.49388844632649931</v>
      </c>
      <c r="H29" s="1">
        <f t="shared" si="2"/>
        <v>8.1738488106775919E-3</v>
      </c>
      <c r="I29" s="1">
        <f t="shared" si="3"/>
        <v>9.0409340284494905E-2</v>
      </c>
      <c r="J29" s="1"/>
      <c r="K29" s="1"/>
      <c r="L29" s="1"/>
      <c r="M29" s="1"/>
    </row>
    <row r="30" spans="1:13" x14ac:dyDescent="0.2">
      <c r="A30">
        <v>6</v>
      </c>
      <c r="B30">
        <v>256</v>
      </c>
      <c r="C30">
        <v>42</v>
      </c>
      <c r="D30">
        <v>46</v>
      </c>
      <c r="E30">
        <v>19</v>
      </c>
      <c r="F30" s="2">
        <f t="shared" si="0"/>
        <v>147.73913043478262</v>
      </c>
      <c r="G30" s="1">
        <f t="shared" si="1"/>
        <v>0.29627403846153844</v>
      </c>
      <c r="H30" s="1">
        <f t="shared" si="2"/>
        <v>2.5046489827153665E-3</v>
      </c>
      <c r="I30" s="1">
        <f t="shared" si="3"/>
        <v>5.0046468234185779E-2</v>
      </c>
      <c r="J30" s="1"/>
      <c r="K30" s="1"/>
      <c r="L30" s="1"/>
      <c r="M30" s="1"/>
    </row>
    <row r="31" spans="1:13" x14ac:dyDescent="0.2">
      <c r="A31">
        <v>7</v>
      </c>
      <c r="B31">
        <v>240</v>
      </c>
      <c r="C31">
        <v>55</v>
      </c>
      <c r="D31">
        <v>46</v>
      </c>
      <c r="E31">
        <v>10</v>
      </c>
      <c r="F31" s="2">
        <f t="shared" si="0"/>
        <v>107.17391304347825</v>
      </c>
      <c r="G31" s="1">
        <f t="shared" si="1"/>
        <v>0</v>
      </c>
      <c r="H31" s="5" t="s">
        <v>4</v>
      </c>
      <c r="I31" s="5" t="s">
        <v>4</v>
      </c>
      <c r="J31" s="1"/>
      <c r="K31" s="1"/>
      <c r="L31" s="1"/>
      <c r="M31" s="1"/>
    </row>
    <row r="32" spans="1:13" x14ac:dyDescent="0.2">
      <c r="A32">
        <v>8</v>
      </c>
      <c r="C32">
        <v>56</v>
      </c>
      <c r="E32">
        <v>0</v>
      </c>
      <c r="G32" s="1"/>
      <c r="H32" s="1"/>
      <c r="I32" s="1"/>
      <c r="J32" s="1"/>
      <c r="K32" s="1"/>
    </row>
    <row r="33" spans="1:13" x14ac:dyDescent="0.2">
      <c r="A33" s="3" t="s">
        <v>38</v>
      </c>
      <c r="G33" s="1"/>
      <c r="H33" s="1"/>
      <c r="I33" s="1"/>
      <c r="J33" s="1"/>
      <c r="K33" s="1"/>
    </row>
    <row r="34" spans="1:13" x14ac:dyDescent="0.2">
      <c r="A34" s="3"/>
      <c r="G34" s="1"/>
      <c r="H34" s="1"/>
      <c r="I34" s="1"/>
      <c r="J34" s="1"/>
      <c r="K34" s="1"/>
    </row>
    <row r="36" spans="1:13" x14ac:dyDescent="0.2">
      <c r="A36" s="9" t="s">
        <v>31</v>
      </c>
    </row>
    <row r="37" spans="1:13" x14ac:dyDescent="0.2">
      <c r="B37" t="s">
        <v>10</v>
      </c>
      <c r="C37" t="s">
        <v>8</v>
      </c>
      <c r="D37" t="s">
        <v>7</v>
      </c>
      <c r="E37" t="s">
        <v>0</v>
      </c>
      <c r="F37" t="s">
        <v>3</v>
      </c>
      <c r="G37" s="8" t="s">
        <v>22</v>
      </c>
      <c r="H37" s="3" t="s">
        <v>23</v>
      </c>
      <c r="I37" s="3" t="s">
        <v>24</v>
      </c>
    </row>
    <row r="38" spans="1:13" x14ac:dyDescent="0.2">
      <c r="A38">
        <v>1</v>
      </c>
      <c r="B38">
        <v>0</v>
      </c>
      <c r="C38">
        <v>0</v>
      </c>
      <c r="D38">
        <v>0</v>
      </c>
      <c r="E38">
        <v>0</v>
      </c>
      <c r="F38" s="4" t="s">
        <v>4</v>
      </c>
      <c r="G38" s="4" t="s">
        <v>4</v>
      </c>
      <c r="H38" s="4" t="s">
        <v>4</v>
      </c>
      <c r="I38" s="4" t="s">
        <v>4</v>
      </c>
      <c r="J38" s="1"/>
      <c r="K38" s="1"/>
      <c r="L38" s="1"/>
      <c r="M38" s="1"/>
    </row>
    <row r="39" spans="1:13" x14ac:dyDescent="0.2">
      <c r="A39">
        <v>2</v>
      </c>
      <c r="B39">
        <v>31</v>
      </c>
      <c r="C39">
        <v>0</v>
      </c>
      <c r="D39">
        <v>11</v>
      </c>
      <c r="E39">
        <v>0</v>
      </c>
      <c r="F39" s="2">
        <f t="shared" ref="F39:F44" si="4">C39+B39*E39/D39</f>
        <v>0</v>
      </c>
      <c r="G39" s="1">
        <f t="shared" ref="G39:G43" si="5">F40/(F39-C39+B39)</f>
        <v>0.45409429280397023</v>
      </c>
      <c r="H39" s="1">
        <f t="shared" ref="H39:H43" si="6">G39^2*((1/D40-1/B40)*(F40-C40)*(F40-C40+B40)/F40^2+(F39-C39)/(F39-C39+B39)*(1/D39-1/B39))</f>
        <v>7.4076986070779529E-3</v>
      </c>
      <c r="I39" s="1">
        <f t="shared" ref="I39:I43" si="7">H39^0.5</f>
        <v>8.6067988282972852E-2</v>
      </c>
      <c r="J39" s="1"/>
      <c r="K39" s="1"/>
      <c r="L39" s="1"/>
      <c r="M39" s="1"/>
    </row>
    <row r="40" spans="1:13" x14ac:dyDescent="0.2">
      <c r="A40">
        <v>3</v>
      </c>
      <c r="B40">
        <v>23</v>
      </c>
      <c r="C40">
        <v>7</v>
      </c>
      <c r="D40">
        <v>13</v>
      </c>
      <c r="E40">
        <v>4</v>
      </c>
      <c r="F40" s="2">
        <f t="shared" si="4"/>
        <v>14.076923076923077</v>
      </c>
      <c r="G40" s="1">
        <f t="shared" si="5"/>
        <v>0.59146587696863651</v>
      </c>
      <c r="H40" s="1">
        <f t="shared" si="6"/>
        <v>4.3968452617235256E-3</v>
      </c>
      <c r="I40" s="1">
        <f t="shared" si="7"/>
        <v>6.6308711808656981E-2</v>
      </c>
      <c r="J40" s="1"/>
      <c r="K40" s="1"/>
      <c r="L40" s="1"/>
      <c r="M40" s="1"/>
    </row>
    <row r="41" spans="1:13" x14ac:dyDescent="0.2">
      <c r="A41">
        <v>4</v>
      </c>
      <c r="B41">
        <v>34</v>
      </c>
      <c r="C41">
        <v>16</v>
      </c>
      <c r="D41">
        <v>19</v>
      </c>
      <c r="E41">
        <v>1</v>
      </c>
      <c r="F41" s="2">
        <f t="shared" si="4"/>
        <v>17.789473684210527</v>
      </c>
      <c r="G41" s="1">
        <f t="shared" si="5"/>
        <v>0.72088235294117642</v>
      </c>
      <c r="H41" s="1">
        <f t="shared" si="6"/>
        <v>1.3915989339507429E-2</v>
      </c>
      <c r="I41" s="1">
        <f t="shared" si="7"/>
        <v>0.11796605163989947</v>
      </c>
      <c r="J41" s="1"/>
      <c r="K41" s="1"/>
      <c r="L41" s="1"/>
      <c r="M41" s="1"/>
    </row>
    <row r="42" spans="1:13" x14ac:dyDescent="0.2">
      <c r="A42">
        <v>5</v>
      </c>
      <c r="B42">
        <v>49</v>
      </c>
      <c r="C42">
        <v>16</v>
      </c>
      <c r="D42">
        <v>20</v>
      </c>
      <c r="E42">
        <v>4</v>
      </c>
      <c r="F42" s="2">
        <f t="shared" si="4"/>
        <v>25.8</v>
      </c>
      <c r="G42" s="1">
        <f t="shared" si="5"/>
        <v>0.40816326530612246</v>
      </c>
      <c r="H42" s="1">
        <f t="shared" si="6"/>
        <v>8.2165310939036199E-4</v>
      </c>
      <c r="I42" s="1">
        <f t="shared" si="7"/>
        <v>2.8664492135573622E-2</v>
      </c>
      <c r="J42" s="1"/>
      <c r="K42" s="1"/>
      <c r="L42" s="1"/>
      <c r="M42" s="1"/>
    </row>
    <row r="43" spans="1:13" x14ac:dyDescent="0.2">
      <c r="A43">
        <v>6</v>
      </c>
      <c r="B43">
        <v>66</v>
      </c>
      <c r="C43">
        <v>24</v>
      </c>
      <c r="D43">
        <v>30</v>
      </c>
      <c r="E43">
        <v>0</v>
      </c>
      <c r="F43" s="2">
        <f t="shared" si="4"/>
        <v>24</v>
      </c>
      <c r="G43" s="1">
        <f t="shared" si="5"/>
        <v>0.50808080808080802</v>
      </c>
      <c r="H43" s="1">
        <f t="shared" si="6"/>
        <v>2.3937693432642916E-3</v>
      </c>
      <c r="I43" s="1">
        <f t="shared" si="7"/>
        <v>4.8926162155479673E-2</v>
      </c>
      <c r="J43" s="1"/>
      <c r="K43" s="1"/>
      <c r="L43" s="1"/>
      <c r="M43" s="1"/>
    </row>
    <row r="44" spans="1:13" x14ac:dyDescent="0.2">
      <c r="A44">
        <v>7</v>
      </c>
      <c r="B44">
        <v>83</v>
      </c>
      <c r="C44">
        <v>28</v>
      </c>
      <c r="D44">
        <v>30</v>
      </c>
      <c r="E44">
        <v>2</v>
      </c>
      <c r="F44" s="2">
        <f t="shared" si="4"/>
        <v>33.533333333333331</v>
      </c>
      <c r="G44" s="5" t="s">
        <v>4</v>
      </c>
      <c r="H44" s="5" t="s">
        <v>4</v>
      </c>
      <c r="I44" s="5" t="s">
        <v>4</v>
      </c>
      <c r="J44" s="1"/>
      <c r="K44" s="1"/>
      <c r="L44" s="1"/>
      <c r="M44" s="1"/>
    </row>
    <row r="45" spans="1:13" x14ac:dyDescent="0.2">
      <c r="A45">
        <v>8</v>
      </c>
      <c r="C45">
        <v>32</v>
      </c>
      <c r="E45">
        <v>0</v>
      </c>
    </row>
    <row r="47" spans="1:13" x14ac:dyDescent="0.2">
      <c r="A47" s="9" t="s">
        <v>35</v>
      </c>
    </row>
    <row r="49" spans="1:5" x14ac:dyDescent="0.2">
      <c r="A49" s="3" t="s">
        <v>2</v>
      </c>
      <c r="B49" s="3" t="s">
        <v>33</v>
      </c>
      <c r="C49" s="3" t="s">
        <v>36</v>
      </c>
      <c r="D49" s="3" t="s">
        <v>1</v>
      </c>
      <c r="E49" s="3" t="s">
        <v>37</v>
      </c>
    </row>
    <row r="50" spans="1:5" x14ac:dyDescent="0.2">
      <c r="A50">
        <v>1</v>
      </c>
      <c r="B50" s="3" t="s">
        <v>4</v>
      </c>
      <c r="C50" s="3" t="s">
        <v>4</v>
      </c>
      <c r="D50" s="3" t="s">
        <v>4</v>
      </c>
      <c r="E50" s="3" t="s">
        <v>4</v>
      </c>
    </row>
    <row r="51" spans="1:5" x14ac:dyDescent="0.2">
      <c r="A51">
        <v>2</v>
      </c>
      <c r="B51" s="3" t="s">
        <v>4</v>
      </c>
      <c r="C51" s="3" t="s">
        <v>4</v>
      </c>
      <c r="D51" s="3" t="s">
        <v>4</v>
      </c>
      <c r="E51" s="3" t="s">
        <v>4</v>
      </c>
    </row>
    <row r="52" spans="1:5" x14ac:dyDescent="0.2">
      <c r="A52">
        <v>3</v>
      </c>
      <c r="B52" s="1">
        <f>1-D27*B40/(B27*D40)</f>
        <v>0.7005917159763313</v>
      </c>
      <c r="C52" s="1">
        <f>(1-B52)*(1/D27-1/B27+1/D40-1/B40)^0.5</f>
        <v>9.8836162778322662E-2</v>
      </c>
      <c r="D52" s="1">
        <f>B27/(B27+B40)*B52</f>
        <v>0.51748251748251739</v>
      </c>
      <c r="E52" s="1">
        <f>B27/(B27+B40)*C52</f>
        <v>7.3003983870351966E-2</v>
      </c>
    </row>
    <row r="53" spans="1:5" x14ac:dyDescent="0.2">
      <c r="A53">
        <v>4</v>
      </c>
      <c r="B53" s="1">
        <f>1-D28*B41/(B28*D41)</f>
        <v>0.75102974828375291</v>
      </c>
      <c r="C53" s="1">
        <f>(1-B53)*(1/D28-1/B28+1/D41-1/B41)^0.5</f>
        <v>5.5739311912224677E-2</v>
      </c>
      <c r="D53" s="1">
        <f>B28/(B28+B41)*B53</f>
        <v>0.65430622009569384</v>
      </c>
      <c r="E53" s="1">
        <f>B28/(B28+B41)*C53</f>
        <v>4.856076416595332E-2</v>
      </c>
    </row>
    <row r="54" spans="1:5" x14ac:dyDescent="0.2">
      <c r="A54">
        <v>5</v>
      </c>
      <c r="B54" s="1">
        <f>1-D29*B42/(B29*D42)</f>
        <v>0.50039215686274507</v>
      </c>
      <c r="C54" s="1">
        <f>(1-B54)*(1/D29-1/B29+1/D42-1/B42)^0.5</f>
        <v>0.1058662268608956</v>
      </c>
      <c r="D54" s="1">
        <f>B29/(B29+B42)*B54</f>
        <v>0.41973684210526313</v>
      </c>
      <c r="E54" s="1">
        <f>B29/(B29+B42)*C54</f>
        <v>8.8802262662922293E-2</v>
      </c>
    </row>
    <row r="55" spans="1:5" x14ac:dyDescent="0.2">
      <c r="A55">
        <v>6</v>
      </c>
      <c r="B55" s="1">
        <f>1-D30*B43/(B30*D43)</f>
        <v>0.60468750000000004</v>
      </c>
      <c r="C55" s="1">
        <f>(1-B55)*(1/D30-1/B30+1/D43-1/B43)^0.5</f>
        <v>7.5020583824951151E-2</v>
      </c>
      <c r="D55" s="1">
        <f>B30/(B30+B43)*B55</f>
        <v>0.48074534161490684</v>
      </c>
      <c r="E55" s="1">
        <f>B30/(B30+B43)*C55</f>
        <v>5.9643693972631966E-2</v>
      </c>
    </row>
    <row r="56" spans="1:5" x14ac:dyDescent="0.2">
      <c r="A56">
        <v>7</v>
      </c>
      <c r="B56" s="1">
        <f>1-D31*B44/(B31*D44)</f>
        <v>0.46972222222222226</v>
      </c>
      <c r="C56" s="1">
        <f>(1-B56)*(1/D31-1/B31+1/D44-1/B44)^0.5</f>
        <v>0.1045301174800399</v>
      </c>
      <c r="D56" s="1">
        <f>B31/(B31+B44)*B56</f>
        <v>0.34901960784313729</v>
      </c>
      <c r="E56" s="1">
        <f>B31/(B31+B44)*C56</f>
        <v>7.7669437136871758E-2</v>
      </c>
    </row>
  </sheetData>
  <printOptions gridLines="1" gridLinesSet="0"/>
  <pageMargins left="0.78740157499999996" right="0.78740157499999996" top="0.984251969" bottom="0.984251969" header="0.5" footer="0.5"/>
  <pageSetup paperSize="0" scale="0" orientation="portrait" horizontalDpi="0" verticalDpi="0" copies="0"/>
  <headerFooter alignWithMargins="0">
    <oddHeader>&amp;F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Lazulifink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2024-10-21T18:37:04Z</dcterms:created>
  <dcterms:modified xsi:type="dcterms:W3CDTF">2025-10-26T21:47:45Z</dcterms:modified>
</cp:coreProperties>
</file>