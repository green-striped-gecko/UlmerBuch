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Users/Henle/Documents/Dateien/Publikationen/Methodenbuch/Ulmer Texte/Daten/Online/"/>
    </mc:Choice>
  </mc:AlternateContent>
  <xr:revisionPtr revIDLastSave="0" documentId="13_ncr:1_{53068F1F-7340-3A44-8CEC-ABC9D4496A79}" xr6:coauthVersionLast="47" xr6:coauthVersionMax="47" xr10:uidLastSave="{00000000-0000-0000-0000-000000000000}"/>
  <bookViews>
    <workbookView xWindow="6760" yWindow="3560" windowWidth="19260" windowHeight="13080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8" i="1" l="1"/>
  <c r="B28" i="1" s="1"/>
  <c r="E28" i="1" s="1"/>
  <c r="G18" i="1"/>
  <c r="D19" i="1"/>
  <c r="D18" i="1"/>
  <c r="A29" i="1" l="1"/>
  <c r="B29" i="1" s="1"/>
  <c r="E18" i="1"/>
  <c r="E19" i="1"/>
  <c r="F19" i="1" s="1"/>
  <c r="C29" i="1" l="1"/>
  <c r="D29" i="1" s="1"/>
  <c r="C28" i="1"/>
  <c r="F18" i="1"/>
  <c r="H18" i="1" s="1"/>
  <c r="D28" i="1"/>
  <c r="F28" i="1" l="1"/>
  <c r="G28" i="1" s="1"/>
</calcChain>
</file>

<file path=xl/sharedStrings.xml><?xml version="1.0" encoding="utf-8"?>
<sst xmlns="http://schemas.openxmlformats.org/spreadsheetml/2006/main" count="40" uniqueCount="37">
  <si>
    <t>N-W</t>
  </si>
  <si>
    <t>s.D. (N-W)</t>
  </si>
  <si>
    <t>Var(N-W)</t>
  </si>
  <si>
    <t>Repro-rate f</t>
  </si>
  <si>
    <t>Var(f)</t>
  </si>
  <si>
    <t>S.d. (f)</t>
  </si>
  <si>
    <t>Var(N)</t>
  </si>
  <si>
    <t>N</t>
  </si>
  <si>
    <t>Datenquelle</t>
  </si>
  <si>
    <r>
      <t xml:space="preserve">Henle, K. (1989): Population ecology and life history of the diurnal skink </t>
    </r>
    <r>
      <rPr>
        <i/>
        <sz val="12"/>
        <rFont val="Times New Roman"/>
        <family val="1"/>
      </rPr>
      <t>Morethia boulengeri</t>
    </r>
    <r>
      <rPr>
        <sz val="12"/>
        <rFont val="Times New Roman"/>
        <family val="1"/>
      </rPr>
      <t xml:space="preserve"> in arid Australia. – Oecologia 78: 521–532</t>
    </r>
  </si>
  <si>
    <t>Parameterdefinitionen</t>
  </si>
  <si>
    <t>Populationsgröße</t>
  </si>
  <si>
    <t>Vi</t>
  </si>
  <si>
    <t>95%-Vi-oben</t>
  </si>
  <si>
    <t>Differenz</t>
  </si>
  <si>
    <t>Vertrauensintervall</t>
  </si>
  <si>
    <t>s.e.</t>
  </si>
  <si>
    <t>Standardfehler für die geschätzte Populationsgröße</t>
  </si>
  <si>
    <t>RE</t>
  </si>
  <si>
    <t>N-Weibchen</t>
  </si>
  <si>
    <t>geschätzte Populationsgröße für die Weibchen</t>
  </si>
  <si>
    <t>Geschlechterrate: M:F</t>
  </si>
  <si>
    <t>M</t>
  </si>
  <si>
    <t>Männchen</t>
  </si>
  <si>
    <t>W</t>
  </si>
  <si>
    <t>Weibchen</t>
  </si>
  <si>
    <t>Reproduktionsrate bezogen auf alle adulten Individuen</t>
  </si>
  <si>
    <t>adult</t>
  </si>
  <si>
    <t>juvenil</t>
  </si>
  <si>
    <t>Var (RE)</t>
  </si>
  <si>
    <t>Reproduktionserfolg bezogen auf Weibchen unter Berücksichtigung der Geschlechterrate (64 M : 70 W)</t>
  </si>
  <si>
    <t>Reproduktionserfolg</t>
  </si>
  <si>
    <t>kann auch der Reproduktionserfolg bezogen auf die adulten Weibchen bestimmt werden</t>
  </si>
  <si>
    <t>Unter Annahme, dass Männchen und Weibchen die gleiche Fangwahrscheinlichkeit besitzen und damit entsprechend dem Geschlechterverhältnis zur Varianz der geschätzten Populationsgröße beitragen,</t>
  </si>
  <si>
    <t>Um sicher zu sein, sollten jedoch bei eigenen Untersuchungen die Populationsgrößen für Männchen und Weibchen separat geschätzt werden</t>
  </si>
  <si>
    <t>Dieser ist der anhand von Gelegegröße ermitelten Reproduktionserfolg von 2,8-3,2 Eier / Gelege und meistens zwei, vereinzelt auch 3 Gelege pro Reproduktionsjahr ähnlich</t>
  </si>
  <si>
    <t>Beispiel 7.2: Indirekte Bestimmung des Reproduktionserfolg für den Skink Morethia boulengeri anhand publizierter Daten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</si>
</sst>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Geneva"/>
    </font>
    <font>
      <sz val="9"/>
      <name val="Geneva"/>
      <family val="2"/>
    </font>
    <font>
      <b/>
      <sz val="9"/>
      <name val="Geneva"/>
      <family val="2"/>
    </font>
    <font>
      <i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workbookViewId="0"/>
  </sheetViews>
  <sheetFormatPr baseColWidth="10" defaultRowHeight="13" x14ac:dyDescent="0.2"/>
  <cols>
    <col min="7" max="7" width="15.5" customWidth="1"/>
    <col min="8" max="8" width="17" customWidth="1"/>
  </cols>
  <sheetData>
    <row r="1" spans="1:3" x14ac:dyDescent="0.2">
      <c r="A1" s="2" t="s">
        <v>36</v>
      </c>
      <c r="B1" s="2"/>
      <c r="C1" s="1"/>
    </row>
    <row r="2" spans="1:3" ht="16" x14ac:dyDescent="0.2">
      <c r="A2" s="1" t="s">
        <v>8</v>
      </c>
      <c r="B2" s="3" t="s">
        <v>9</v>
      </c>
    </row>
    <row r="4" spans="1:3" x14ac:dyDescent="0.2">
      <c r="A4" s="2" t="s">
        <v>10</v>
      </c>
      <c r="B4" s="2"/>
    </row>
    <row r="5" spans="1:3" s="1" customFormat="1" x14ac:dyDescent="0.2">
      <c r="A5" s="1" t="s">
        <v>22</v>
      </c>
      <c r="B5" s="1" t="s">
        <v>23</v>
      </c>
    </row>
    <row r="6" spans="1:3" s="1" customFormat="1" x14ac:dyDescent="0.2">
      <c r="A6" s="1" t="s">
        <v>24</v>
      </c>
      <c r="B6" s="1" t="s">
        <v>25</v>
      </c>
    </row>
    <row r="7" spans="1:3" x14ac:dyDescent="0.2">
      <c r="A7" s="1" t="s">
        <v>7</v>
      </c>
      <c r="B7" s="1" t="s">
        <v>11</v>
      </c>
    </row>
    <row r="8" spans="1:3" x14ac:dyDescent="0.2">
      <c r="A8" s="1" t="s">
        <v>0</v>
      </c>
      <c r="B8" s="1" t="s">
        <v>20</v>
      </c>
    </row>
    <row r="9" spans="1:3" x14ac:dyDescent="0.2">
      <c r="A9" s="1" t="s">
        <v>18</v>
      </c>
      <c r="B9" s="1" t="s">
        <v>31</v>
      </c>
    </row>
    <row r="10" spans="1:3" x14ac:dyDescent="0.2">
      <c r="A10" s="1" t="s">
        <v>16</v>
      </c>
      <c r="B10" s="1" t="s">
        <v>17</v>
      </c>
    </row>
    <row r="11" spans="1:3" x14ac:dyDescent="0.2">
      <c r="A11" s="1" t="s">
        <v>12</v>
      </c>
      <c r="B11" s="1" t="s">
        <v>15</v>
      </c>
    </row>
    <row r="15" spans="1:3" x14ac:dyDescent="0.2">
      <c r="A15" s="1" t="s">
        <v>26</v>
      </c>
    </row>
    <row r="17" spans="1:8" x14ac:dyDescent="0.2">
      <c r="B17" s="1" t="s">
        <v>7</v>
      </c>
      <c r="C17" s="1" t="s">
        <v>13</v>
      </c>
      <c r="D17" s="1" t="s">
        <v>14</v>
      </c>
      <c r="E17" s="1" t="s">
        <v>16</v>
      </c>
      <c r="F17" t="s">
        <v>6</v>
      </c>
      <c r="G17" s="1" t="s">
        <v>18</v>
      </c>
      <c r="H17" s="1" t="s">
        <v>29</v>
      </c>
    </row>
    <row r="18" spans="1:8" x14ac:dyDescent="0.2">
      <c r="A18" s="1" t="s">
        <v>27</v>
      </c>
      <c r="B18">
        <v>58</v>
      </c>
      <c r="C18">
        <v>84</v>
      </c>
      <c r="D18">
        <f>C18-B18</f>
        <v>26</v>
      </c>
      <c r="E18">
        <f>D18/1.96</f>
        <v>13.26530612244898</v>
      </c>
      <c r="F18">
        <f>E18^2</f>
        <v>175.96834652228239</v>
      </c>
      <c r="G18">
        <f>B19/B18</f>
        <v>3</v>
      </c>
      <c r="H18">
        <f>G18^2*(F18/B18^2+F19/B19^2)</f>
        <v>0.7977161963331767</v>
      </c>
    </row>
    <row r="19" spans="1:8" x14ac:dyDescent="0.2">
      <c r="A19" s="1" t="s">
        <v>28</v>
      </c>
      <c r="B19">
        <v>174</v>
      </c>
      <c r="C19">
        <v>239</v>
      </c>
      <c r="D19">
        <f>C19-B19</f>
        <v>65</v>
      </c>
      <c r="E19">
        <f>D19/1.96</f>
        <v>33.163265306122447</v>
      </c>
      <c r="F19">
        <f>E19^2</f>
        <v>1099.8021657642648</v>
      </c>
    </row>
    <row r="22" spans="1:8" x14ac:dyDescent="0.2">
      <c r="A22" s="1" t="s">
        <v>30</v>
      </c>
    </row>
    <row r="23" spans="1:8" x14ac:dyDescent="0.2">
      <c r="A23" s="1" t="s">
        <v>33</v>
      </c>
    </row>
    <row r="24" spans="1:8" x14ac:dyDescent="0.2">
      <c r="A24" s="1" t="s">
        <v>32</v>
      </c>
    </row>
    <row r="25" spans="1:8" x14ac:dyDescent="0.2">
      <c r="A25" s="1" t="s">
        <v>34</v>
      </c>
    </row>
    <row r="26" spans="1:8" x14ac:dyDescent="0.2">
      <c r="A26" s="1"/>
    </row>
    <row r="27" spans="1:8" x14ac:dyDescent="0.2">
      <c r="A27" s="1" t="s">
        <v>21</v>
      </c>
      <c r="B27" s="1" t="s">
        <v>19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</row>
    <row r="28" spans="1:8" x14ac:dyDescent="0.2">
      <c r="A28">
        <f>70/(70+64)</f>
        <v>0.52238805970149249</v>
      </c>
      <c r="B28">
        <f>B18*A28</f>
        <v>30.298507462686565</v>
      </c>
      <c r="C28">
        <f>E18*A28</f>
        <v>6.929637526652451</v>
      </c>
      <c r="D28">
        <f>C28^2</f>
        <v>48.019876250789899</v>
      </c>
      <c r="E28">
        <f>B19/B28</f>
        <v>5.7428571428571429</v>
      </c>
      <c r="F28">
        <f>E28^2*(D28/B28^2+F19/B19^2)</f>
        <v>2.9232228615017393</v>
      </c>
      <c r="G28">
        <f>F28^0.5</f>
        <v>1.7097435075185223</v>
      </c>
    </row>
    <row r="29" spans="1:8" x14ac:dyDescent="0.2">
      <c r="A29">
        <f>1-A28</f>
        <v>0.47761194029850751</v>
      </c>
      <c r="B29">
        <f>B18*A29</f>
        <v>27.701492537313435</v>
      </c>
      <c r="C29">
        <f>E18*A29</f>
        <v>6.3356685957965286</v>
      </c>
      <c r="D29">
        <f>C29^2</f>
        <v>40.140696555762354</v>
      </c>
    </row>
    <row r="31" spans="1:8" x14ac:dyDescent="0.2">
      <c r="A31" s="1" t="s">
        <v>35</v>
      </c>
    </row>
  </sheetData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" x14ac:dyDescent="0.2"/>
  <sheetData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3" x14ac:dyDescent="0.2"/>
  <sheetData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Klaus Henle</dc:creator>
  <cp:lastModifiedBy>Microsoft Office User</cp:lastModifiedBy>
  <dcterms:created xsi:type="dcterms:W3CDTF">1999-12-25T19:22:01Z</dcterms:created>
  <dcterms:modified xsi:type="dcterms:W3CDTF">2025-10-24T13:46:28Z</dcterms:modified>
</cp:coreProperties>
</file>