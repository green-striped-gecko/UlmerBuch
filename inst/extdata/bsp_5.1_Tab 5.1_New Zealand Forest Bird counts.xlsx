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enle/Documents/Dateien/Publikationen/Methodenbuch/Ulmer Texte/Daten/Online/"/>
    </mc:Choice>
  </mc:AlternateContent>
  <xr:revisionPtr revIDLastSave="0" documentId="13_ncr:1_{B918DCE9-A448-9543-A47E-9E6C36E71933}" xr6:coauthVersionLast="47" xr6:coauthVersionMax="47" xr10:uidLastSave="{00000000-0000-0000-0000-000000000000}"/>
  <bookViews>
    <workbookView xWindow="12760" yWindow="500" windowWidth="28240" windowHeight="16140" xr2:uid="{5D47919E-1621-9B4B-965B-EEA1318DB837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1" l="1"/>
  <c r="F11" i="1" s="1"/>
  <c r="E9" i="1"/>
  <c r="F9" i="1" s="1"/>
  <c r="E5" i="1"/>
  <c r="F5" i="1" s="1"/>
  <c r="E6" i="1"/>
  <c r="F6" i="1" s="1"/>
  <c r="E12" i="1"/>
  <c r="F12" i="1" s="1"/>
  <c r="E10" i="1"/>
  <c r="F10" i="1" s="1"/>
  <c r="G9" i="1" s="1"/>
  <c r="D13" i="1"/>
  <c r="D8" i="1"/>
  <c r="D7" i="1"/>
  <c r="E8" i="1" s="1"/>
  <c r="F8" i="1" s="1"/>
  <c r="G5" i="1" l="1"/>
  <c r="G11" i="1"/>
  <c r="E7" i="1"/>
  <c r="F7" i="1" s="1"/>
  <c r="G7" i="1" s="1"/>
  <c r="E13" i="1"/>
  <c r="F13" i="1" s="1"/>
  <c r="G13" i="1" s="1"/>
  <c r="E14" i="1"/>
  <c r="F14" i="1" s="1"/>
</calcChain>
</file>

<file path=xl/sharedStrings.xml><?xml version="1.0" encoding="utf-8"?>
<sst xmlns="http://schemas.openxmlformats.org/spreadsheetml/2006/main" count="32" uniqueCount="23">
  <si>
    <t>Kuppe</t>
  </si>
  <si>
    <t>Tal</t>
  </si>
  <si>
    <t>Gebiet</t>
  </si>
  <si>
    <t>Art</t>
  </si>
  <si>
    <t>Anzahl Nachweise</t>
  </si>
  <si>
    <t>Erwartungswert</t>
  </si>
  <si>
    <t>Chi-Quadrat Test</t>
  </si>
  <si>
    <t>Datenquelle</t>
  </si>
  <si>
    <t>Beispiel 5.1, Tabelle 5.1: Vergleich der Häufigkeit von neuseeländischen Vögeln durch Zählung von Rufen</t>
  </si>
  <si>
    <t>Anthornis melanura</t>
  </si>
  <si>
    <t>Petroica macrocephala</t>
  </si>
  <si>
    <t>Zosterops lateralis</t>
  </si>
  <si>
    <t>Rhipidura fuliginosa</t>
  </si>
  <si>
    <t>Gerygone igata</t>
  </si>
  <si>
    <t>Anzahl Erfassungspunkte</t>
  </si>
  <si>
    <t>Gerundeter</t>
  </si>
  <si>
    <t>alpha</t>
  </si>
  <si>
    <t>&lt; 0,01</t>
  </si>
  <si>
    <t>&gt; 0,05</t>
  </si>
  <si>
    <t>&gt; 0,3</t>
  </si>
  <si>
    <t>&gt; 0,2</t>
  </si>
  <si>
    <t>&gt; 0,7</t>
  </si>
  <si>
    <t>Dawson, D.G., Bull, P.C. (1975): Counting birds in New Zealand forests. – Notornis 22/2: 101–109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</si>
</sst>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1"/>
      <color theme="1"/>
      <name val="Arial"/>
      <family val="2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4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E58FC-CAC5-3041-814C-20B6708E9F8D}">
  <dimension ref="A1:H14"/>
  <sheetViews>
    <sheetView tabSelected="1" workbookViewId="0">
      <selection activeCell="B2" sqref="B2"/>
    </sheetView>
  </sheetViews>
  <sheetFormatPr baseColWidth="10" defaultRowHeight="16" x14ac:dyDescent="0.2"/>
  <cols>
    <col min="1" max="1" width="20.6640625" customWidth="1"/>
    <col min="2" max="2" width="8.6640625" customWidth="1"/>
    <col min="3" max="3" width="21.5" customWidth="1"/>
    <col min="4" max="4" width="15.83203125" customWidth="1"/>
    <col min="5" max="5" width="15" customWidth="1"/>
  </cols>
  <sheetData>
    <row r="1" spans="1:8" x14ac:dyDescent="0.2">
      <c r="A1" s="1" t="s">
        <v>8</v>
      </c>
    </row>
    <row r="2" spans="1:8" x14ac:dyDescent="0.2">
      <c r="A2" t="s">
        <v>7</v>
      </c>
      <c r="B2" s="4" t="s">
        <v>22</v>
      </c>
    </row>
    <row r="3" spans="1:8" x14ac:dyDescent="0.2">
      <c r="F3" t="s">
        <v>15</v>
      </c>
    </row>
    <row r="4" spans="1:8" x14ac:dyDescent="0.2">
      <c r="A4" t="s">
        <v>3</v>
      </c>
      <c r="B4" t="s">
        <v>2</v>
      </c>
      <c r="C4" t="s">
        <v>14</v>
      </c>
      <c r="D4" t="s">
        <v>4</v>
      </c>
      <c r="E4" t="s">
        <v>5</v>
      </c>
      <c r="F4" t="s">
        <v>5</v>
      </c>
      <c r="G4" t="s">
        <v>6</v>
      </c>
      <c r="H4" t="s">
        <v>16</v>
      </c>
    </row>
    <row r="5" spans="1:8" x14ac:dyDescent="0.2">
      <c r="A5" s="2" t="s">
        <v>9</v>
      </c>
      <c r="B5" t="s">
        <v>1</v>
      </c>
      <c r="C5">
        <v>40</v>
      </c>
      <c r="D5">
        <v>55</v>
      </c>
      <c r="E5">
        <f>(D5+D6)*(C5/(C5+C6))</f>
        <v>69.375</v>
      </c>
      <c r="F5">
        <f>ROUND(E5,0)</f>
        <v>69</v>
      </c>
      <c r="G5">
        <f>(D5-F5)^2/F5+(D6-F6)^2/F6</f>
        <v>7.5072463768115947</v>
      </c>
      <c r="H5" s="3" t="s">
        <v>17</v>
      </c>
    </row>
    <row r="6" spans="1:8" x14ac:dyDescent="0.2">
      <c r="A6" s="2"/>
      <c r="B6" t="s">
        <v>0</v>
      </c>
      <c r="C6">
        <v>24</v>
      </c>
      <c r="D6">
        <v>56</v>
      </c>
      <c r="E6">
        <f>(D5+D6)*C6/(C5+C6)</f>
        <v>41.625</v>
      </c>
      <c r="F6">
        <f t="shared" ref="F6:F14" si="0">ROUND(E6,0)</f>
        <v>42</v>
      </c>
    </row>
    <row r="7" spans="1:8" x14ac:dyDescent="0.2">
      <c r="A7" s="2" t="s">
        <v>10</v>
      </c>
      <c r="B7" t="s">
        <v>1</v>
      </c>
      <c r="C7">
        <v>40</v>
      </c>
      <c r="D7">
        <f>C7*0.4</f>
        <v>16</v>
      </c>
      <c r="E7">
        <f>(D7+D8)*(C7/(C7+C8))</f>
        <v>21.25</v>
      </c>
      <c r="F7">
        <f t="shared" si="0"/>
        <v>21</v>
      </c>
      <c r="G7">
        <f>(D7-F7)^2/F7+(D8-F8)^2/F8</f>
        <v>3.1135531135531136</v>
      </c>
      <c r="H7" s="3" t="s">
        <v>18</v>
      </c>
    </row>
    <row r="8" spans="1:8" x14ac:dyDescent="0.2">
      <c r="A8" s="2"/>
      <c r="B8" t="s">
        <v>0</v>
      </c>
      <c r="C8">
        <v>24</v>
      </c>
      <c r="D8">
        <f>C8*0.75</f>
        <v>18</v>
      </c>
      <c r="E8">
        <f>(D7+D8)*C8/(C7+C8)</f>
        <v>12.75</v>
      </c>
      <c r="F8">
        <f t="shared" si="0"/>
        <v>13</v>
      </c>
    </row>
    <row r="9" spans="1:8" x14ac:dyDescent="0.2">
      <c r="A9" s="2" t="s">
        <v>11</v>
      </c>
      <c r="B9" t="s">
        <v>1</v>
      </c>
      <c r="C9">
        <v>40</v>
      </c>
      <c r="D9">
        <v>45</v>
      </c>
      <c r="E9">
        <f>(D9+D10)*(C9/(C9+C10))</f>
        <v>41.25</v>
      </c>
      <c r="F9">
        <f t="shared" si="0"/>
        <v>41</v>
      </c>
      <c r="G9">
        <f>(D9-F9)^2/F9+(D10-F10)^2/F10</f>
        <v>1.0302439024390244</v>
      </c>
      <c r="H9" s="3" t="s">
        <v>19</v>
      </c>
    </row>
    <row r="10" spans="1:8" x14ac:dyDescent="0.2">
      <c r="A10" s="2"/>
      <c r="B10" t="s">
        <v>0</v>
      </c>
      <c r="C10">
        <v>24</v>
      </c>
      <c r="D10">
        <v>21</v>
      </c>
      <c r="E10">
        <f>(D9+D10)*C10/(C9+C10)</f>
        <v>24.75</v>
      </c>
      <c r="F10">
        <f t="shared" si="0"/>
        <v>25</v>
      </c>
    </row>
    <row r="11" spans="1:8" x14ac:dyDescent="0.2">
      <c r="A11" s="2" t="s">
        <v>12</v>
      </c>
      <c r="B11" t="s">
        <v>1</v>
      </c>
      <c r="C11">
        <v>40</v>
      </c>
      <c r="D11">
        <v>25</v>
      </c>
      <c r="E11">
        <f>(D11+D12)*(C11/(C11+C12))</f>
        <v>21.875</v>
      </c>
      <c r="F11">
        <f t="shared" si="0"/>
        <v>22</v>
      </c>
      <c r="G11">
        <f>(D11-F11)^2/F11+(D12-F12)^2/F12</f>
        <v>1.1013986013986015</v>
      </c>
      <c r="H11" s="3" t="s">
        <v>20</v>
      </c>
    </row>
    <row r="12" spans="1:8" x14ac:dyDescent="0.2">
      <c r="A12" s="2"/>
      <c r="B12" t="s">
        <v>0</v>
      </c>
      <c r="C12">
        <v>24</v>
      </c>
      <c r="D12">
        <v>10</v>
      </c>
      <c r="E12">
        <f>(D11+D12)*C12/(C11+C12)</f>
        <v>13.125</v>
      </c>
      <c r="F12">
        <f t="shared" si="0"/>
        <v>13</v>
      </c>
    </row>
    <row r="13" spans="1:8" x14ac:dyDescent="0.2">
      <c r="A13" s="2" t="s">
        <v>13</v>
      </c>
      <c r="B13" t="s">
        <v>1</v>
      </c>
      <c r="C13">
        <v>40</v>
      </c>
      <c r="D13">
        <f>C13*1.15</f>
        <v>46</v>
      </c>
      <c r="E13">
        <f>(D13+D14)*(C13/(C13+C14))</f>
        <v>46.875</v>
      </c>
      <c r="F13">
        <f t="shared" si="0"/>
        <v>47</v>
      </c>
      <c r="G13">
        <f>(D13-F13)^2/F13+(D14-F14)^2/F14</f>
        <v>5.6990881458966566E-2</v>
      </c>
      <c r="H13" s="3" t="s">
        <v>21</v>
      </c>
    </row>
    <row r="14" spans="1:8" x14ac:dyDescent="0.2">
      <c r="B14" t="s">
        <v>0</v>
      </c>
      <c r="C14">
        <v>24</v>
      </c>
      <c r="D14">
        <v>29</v>
      </c>
      <c r="E14">
        <f>(D13+D14)*C14/(C13+C14)</f>
        <v>28.125</v>
      </c>
      <c r="F14">
        <f t="shared" si="0"/>
        <v>28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2023-10-21T20:20:14Z</dcterms:created>
  <dcterms:modified xsi:type="dcterms:W3CDTF">2025-10-19T18:50:32Z</dcterms:modified>
</cp:coreProperties>
</file>