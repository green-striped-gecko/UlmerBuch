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6818D2A8-D12E-7844-9FC0-296E7222437B}" xr6:coauthVersionLast="47" xr6:coauthVersionMax="47" xr10:uidLastSave="{00000000-0000-0000-0000-000000000000}"/>
  <bookViews>
    <workbookView xWindow="4120" yWindow="3520" windowWidth="27440" windowHeight="15180" xr2:uid="{D46D95FD-EE7F-1241-BD47-9ABD4AC601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E31" i="1" l="1"/>
  <c r="B32" i="1"/>
  <c r="B31" i="1"/>
  <c r="B47" i="1"/>
  <c r="B46" i="1"/>
  <c r="C23" i="1"/>
  <c r="B23" i="1"/>
  <c r="B49" i="1" l="1"/>
  <c r="B48" i="1"/>
  <c r="B34" i="1"/>
  <c r="B33" i="1"/>
</calcChain>
</file>

<file path=xl/sharedStrings.xml><?xml version="1.0" encoding="utf-8"?>
<sst xmlns="http://schemas.openxmlformats.org/spreadsheetml/2006/main" count="46" uniqueCount="32">
  <si>
    <t>Summe</t>
  </si>
  <si>
    <t>n1</t>
  </si>
  <si>
    <t>n2</t>
  </si>
  <si>
    <t>m2</t>
  </si>
  <si>
    <t>N</t>
  </si>
  <si>
    <t>Var(N)</t>
  </si>
  <si>
    <t>95%-unten</t>
  </si>
  <si>
    <t>95%-oben</t>
  </si>
  <si>
    <t>Nixon, C.M., Edwards, E.R., Eberhardt, L. (1967): Estimating squirrel abundance from livetrapping data. – The Journal of Wildlife Management 31: 96–101</t>
  </si>
  <si>
    <t>Datenquelle</t>
  </si>
  <si>
    <t>Parameterdefinitionen</t>
  </si>
  <si>
    <t>i</t>
  </si>
  <si>
    <t>ni</t>
  </si>
  <si>
    <t>mi</t>
  </si>
  <si>
    <t>Mi+1</t>
  </si>
  <si>
    <t>Laufparameter für die Fangtage mit Fallen</t>
  </si>
  <si>
    <t>Mi</t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</si>
  <si>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</si>
  <si>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t>Anzahl der bei Fanggelegenheit i in Fallen gefangene Grauhörnchen</t>
  </si>
  <si>
    <t>Fangdaten</t>
  </si>
  <si>
    <t>Analyse mit Lincoln-Petersen Methode</t>
  </si>
  <si>
    <t>nur Tag 1 und Tag 2 berücksichtigt</t>
  </si>
  <si>
    <t>Modifizierte Formel zur Berücksichtigung von Verhalten (Formel 10.8 im Buch)</t>
  </si>
  <si>
    <t xml:space="preserve">Beseitigung von Verhaltenseffekte beim beköderten Fallenang durch Verwendung einer Jagdstrecke </t>
  </si>
  <si>
    <t>Parametererklärung</t>
  </si>
  <si>
    <t>in der anschließenden Jagdsaison</t>
  </si>
  <si>
    <t>Summe der markierten Grauhörnchen (M11)</t>
  </si>
  <si>
    <t>Jagdstrecke</t>
  </si>
  <si>
    <t xml:space="preserve">Anzahl markierter Grauhörnchen in der Jagdstrecke </t>
  </si>
  <si>
    <t>Beide Schätzwerte liegen deutlich unter der Gesamtzahl der gefangenn Grauhörnchen und sind daher sicher falsch, weil die Annahmen nicht eingehalten werden konnten</t>
  </si>
  <si>
    <t>Beispiel 10.3. Eliminierung von Verhaltenseffekten durch Fangmethodenwechsel bei der Schätzung der Populationsgröße von Grauhörnchen mit der Lincoln-Petersen-Methode</t>
  </si>
  <si>
    <t>Anzahl bei Fanggelegenheit i wiedergefangener Grauhörnchen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</si>
</sst>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25E6-EC06-C842-8D28-B720F5B45F60}">
  <dimension ref="A1:E49"/>
  <sheetViews>
    <sheetView tabSelected="1" topLeftCell="A22" workbookViewId="0">
      <selection activeCell="A9" sqref="A9:XFD9"/>
    </sheetView>
  </sheetViews>
  <sheetFormatPr baseColWidth="10" defaultRowHeight="16" x14ac:dyDescent="0.2"/>
  <sheetData>
    <row r="1" spans="1:4" x14ac:dyDescent="0.2">
      <c r="A1" s="1" t="s">
        <v>30</v>
      </c>
    </row>
    <row r="2" spans="1:4" x14ac:dyDescent="0.2">
      <c r="A2" s="3" t="s">
        <v>9</v>
      </c>
      <c r="B2" s="2" t="s">
        <v>8</v>
      </c>
    </row>
    <row r="3" spans="1:4" x14ac:dyDescent="0.2">
      <c r="A3" s="1"/>
    </row>
    <row r="4" spans="1:4" x14ac:dyDescent="0.2">
      <c r="A4" s="1" t="s">
        <v>10</v>
      </c>
    </row>
    <row r="5" spans="1:4" x14ac:dyDescent="0.2">
      <c r="A5" s="3" t="s">
        <v>11</v>
      </c>
      <c r="B5" t="s">
        <v>15</v>
      </c>
    </row>
    <row r="6" spans="1:4" x14ac:dyDescent="0.2">
      <c r="A6" s="3" t="s">
        <v>13</v>
      </c>
      <c r="B6" t="s">
        <v>31</v>
      </c>
    </row>
    <row r="7" spans="1:4" x14ac:dyDescent="0.2">
      <c r="A7" s="3" t="s">
        <v>14</v>
      </c>
      <c r="B7" s="4" t="s">
        <v>17</v>
      </c>
    </row>
    <row r="8" spans="1:4" x14ac:dyDescent="0.2">
      <c r="A8" s="3" t="s">
        <v>12</v>
      </c>
      <c r="B8" t="s">
        <v>18</v>
      </c>
    </row>
    <row r="9" spans="1:4" x14ac:dyDescent="0.2">
      <c r="A9" s="1"/>
    </row>
    <row r="10" spans="1:4" x14ac:dyDescent="0.2">
      <c r="A10" s="1" t="s">
        <v>19</v>
      </c>
    </row>
    <row r="11" spans="1:4" x14ac:dyDescent="0.2">
      <c r="A11" t="s">
        <v>11</v>
      </c>
      <c r="B11" t="s">
        <v>12</v>
      </c>
      <c r="C11" t="s">
        <v>13</v>
      </c>
      <c r="D11" t="s">
        <v>16</v>
      </c>
    </row>
    <row r="12" spans="1:4" x14ac:dyDescent="0.2">
      <c r="A12">
        <v>1</v>
      </c>
      <c r="B12">
        <v>38</v>
      </c>
      <c r="C12">
        <v>0</v>
      </c>
      <c r="D12">
        <v>0</v>
      </c>
    </row>
    <row r="13" spans="1:4" x14ac:dyDescent="0.2">
      <c r="A13">
        <v>2</v>
      </c>
      <c r="B13">
        <v>29</v>
      </c>
      <c r="C13">
        <v>19</v>
      </c>
      <c r="D13">
        <v>38</v>
      </c>
    </row>
    <row r="14" spans="1:4" x14ac:dyDescent="0.2">
      <c r="A14">
        <v>3</v>
      </c>
      <c r="B14">
        <v>31</v>
      </c>
      <c r="C14">
        <v>23</v>
      </c>
      <c r="D14">
        <v>48</v>
      </c>
    </row>
    <row r="15" spans="1:4" x14ac:dyDescent="0.2">
      <c r="A15">
        <v>4</v>
      </c>
      <c r="B15">
        <v>16</v>
      </c>
      <c r="C15">
        <v>13</v>
      </c>
      <c r="D15">
        <v>56</v>
      </c>
    </row>
    <row r="16" spans="1:4" x14ac:dyDescent="0.2">
      <c r="A16">
        <v>5</v>
      </c>
      <c r="B16">
        <v>20</v>
      </c>
      <c r="C16">
        <v>19</v>
      </c>
      <c r="D16">
        <v>59</v>
      </c>
    </row>
    <row r="17" spans="1:5" x14ac:dyDescent="0.2">
      <c r="A17">
        <v>6</v>
      </c>
      <c r="B17">
        <v>18</v>
      </c>
      <c r="C17">
        <v>17</v>
      </c>
      <c r="D17">
        <v>60</v>
      </c>
    </row>
    <row r="18" spans="1:5" x14ac:dyDescent="0.2">
      <c r="A18">
        <v>7</v>
      </c>
      <c r="B18">
        <v>17</v>
      </c>
      <c r="C18">
        <v>14</v>
      </c>
      <c r="D18">
        <v>61</v>
      </c>
    </row>
    <row r="19" spans="1:5" x14ac:dyDescent="0.2">
      <c r="A19">
        <v>8</v>
      </c>
      <c r="B19">
        <v>19</v>
      </c>
      <c r="C19">
        <v>13</v>
      </c>
      <c r="D19">
        <v>64</v>
      </c>
    </row>
    <row r="20" spans="1:5" x14ac:dyDescent="0.2">
      <c r="A20">
        <v>9</v>
      </c>
      <c r="B20">
        <v>16</v>
      </c>
      <c r="C20">
        <v>14</v>
      </c>
      <c r="D20">
        <v>70</v>
      </c>
    </row>
    <row r="21" spans="1:5" x14ac:dyDescent="0.2">
      <c r="A21">
        <v>10</v>
      </c>
      <c r="B21">
        <v>14</v>
      </c>
      <c r="C21">
        <v>14</v>
      </c>
      <c r="D21">
        <v>72</v>
      </c>
    </row>
    <row r="22" spans="1:5" x14ac:dyDescent="0.2">
      <c r="A22">
        <v>11</v>
      </c>
      <c r="B22">
        <v>5</v>
      </c>
      <c r="C22">
        <v>5</v>
      </c>
      <c r="D22">
        <v>72</v>
      </c>
    </row>
    <row r="23" spans="1:5" x14ac:dyDescent="0.2">
      <c r="A23" t="s">
        <v>0</v>
      </c>
      <c r="B23">
        <f>SUM(B12:B22)</f>
        <v>223</v>
      </c>
      <c r="C23">
        <f t="shared" ref="C23" si="0">SUM(C12:C22)</f>
        <v>151</v>
      </c>
      <c r="D23">
        <v>72</v>
      </c>
    </row>
    <row r="25" spans="1:5" x14ac:dyDescent="0.2">
      <c r="A25" s="1" t="s">
        <v>20</v>
      </c>
    </row>
    <row r="26" spans="1:5" x14ac:dyDescent="0.2">
      <c r="A26" t="s">
        <v>21</v>
      </c>
      <c r="D26" t="s">
        <v>22</v>
      </c>
    </row>
    <row r="27" spans="1:5" x14ac:dyDescent="0.2">
      <c r="A27" t="s">
        <v>1</v>
      </c>
      <c r="B27">
        <v>38</v>
      </c>
      <c r="D27" t="s">
        <v>1</v>
      </c>
      <c r="E27">
        <v>38</v>
      </c>
    </row>
    <row r="28" spans="1:5" x14ac:dyDescent="0.2">
      <c r="A28" t="s">
        <v>2</v>
      </c>
      <c r="B28">
        <v>29</v>
      </c>
      <c r="D28" t="s">
        <v>2</v>
      </c>
      <c r="E28">
        <v>29</v>
      </c>
    </row>
    <row r="29" spans="1:5" x14ac:dyDescent="0.2">
      <c r="A29" t="s">
        <v>3</v>
      </c>
      <c r="B29">
        <v>19</v>
      </c>
      <c r="D29" t="s">
        <v>3</v>
      </c>
      <c r="E29">
        <v>19</v>
      </c>
    </row>
    <row r="31" spans="1:5" x14ac:dyDescent="0.2">
      <c r="A31" t="s">
        <v>4</v>
      </c>
      <c r="B31">
        <f>(B27+1)*(B28+1)/(B29+1)-1</f>
        <v>57.5</v>
      </c>
      <c r="D31" t="s">
        <v>4</v>
      </c>
      <c r="E31">
        <f>E27^2/(E27-E28+E29)</f>
        <v>51.571428571428569</v>
      </c>
    </row>
    <row r="32" spans="1:5" x14ac:dyDescent="0.2">
      <c r="A32" t="s">
        <v>5</v>
      </c>
      <c r="B32">
        <f>(B27+1)*(B28+1)*(B27-B29)*(B28-B29)/((B29+1)^2*(B29+2))</f>
        <v>26.464285714285715</v>
      </c>
    </row>
    <row r="33" spans="1:3" x14ac:dyDescent="0.2">
      <c r="A33" t="s">
        <v>6</v>
      </c>
      <c r="B33">
        <f>B31-1.96*B32^0.5</f>
        <v>47.41708375518273</v>
      </c>
    </row>
    <row r="34" spans="1:3" x14ac:dyDescent="0.2">
      <c r="A34" t="s">
        <v>7</v>
      </c>
      <c r="B34">
        <f>B31+1.96*B32^0.5</f>
        <v>67.58291624481727</v>
      </c>
    </row>
    <row r="36" spans="1:3" x14ac:dyDescent="0.2">
      <c r="A36" t="s">
        <v>29</v>
      </c>
    </row>
    <row r="38" spans="1:3" x14ac:dyDescent="0.2">
      <c r="A38" s="1" t="s">
        <v>23</v>
      </c>
    </row>
    <row r="39" spans="1:3" x14ac:dyDescent="0.2">
      <c r="A39" t="s">
        <v>25</v>
      </c>
    </row>
    <row r="41" spans="1:3" x14ac:dyDescent="0.2">
      <c r="C41" t="s">
        <v>24</v>
      </c>
    </row>
    <row r="42" spans="1:3" x14ac:dyDescent="0.2">
      <c r="A42" t="s">
        <v>1</v>
      </c>
      <c r="B42">
        <f>D23</f>
        <v>72</v>
      </c>
      <c r="C42" t="s">
        <v>26</v>
      </c>
    </row>
    <row r="43" spans="1:3" x14ac:dyDescent="0.2">
      <c r="A43" t="s">
        <v>2</v>
      </c>
      <c r="B43">
        <v>30</v>
      </c>
      <c r="C43" t="s">
        <v>27</v>
      </c>
    </row>
    <row r="44" spans="1:3" x14ac:dyDescent="0.2">
      <c r="A44" t="s">
        <v>3</v>
      </c>
      <c r="B44">
        <v>17</v>
      </c>
      <c r="C44" t="s">
        <v>28</v>
      </c>
    </row>
    <row r="46" spans="1:3" x14ac:dyDescent="0.2">
      <c r="A46" t="s">
        <v>4</v>
      </c>
      <c r="B46">
        <f>(B42+1)*(B43+1)/(B44+1)-1</f>
        <v>124.72222222222223</v>
      </c>
    </row>
    <row r="47" spans="1:3" x14ac:dyDescent="0.2">
      <c r="A47" t="s">
        <v>5</v>
      </c>
      <c r="B47">
        <f>(B42+1)*(B43+1)*(B42-B44)*(B43-B44)/((B44+1)^2*(B44+2))</f>
        <v>262.84031838856401</v>
      </c>
    </row>
    <row r="48" spans="1:3" x14ac:dyDescent="0.2">
      <c r="A48" t="s">
        <v>6</v>
      </c>
      <c r="B48">
        <f>B46-1.96*B47^0.5</f>
        <v>92.946014658677029</v>
      </c>
    </row>
    <row r="49" spans="1:2" x14ac:dyDescent="0.2">
      <c r="A49" t="s">
        <v>7</v>
      </c>
      <c r="B49">
        <f>B46+1.96*B47^0.5</f>
        <v>156.49842978576743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2024-03-04T13:29:22Z</dcterms:created>
  <dcterms:modified xsi:type="dcterms:W3CDTF">2025-10-25T19:35:57Z</dcterms:modified>
</cp:coreProperties>
</file>