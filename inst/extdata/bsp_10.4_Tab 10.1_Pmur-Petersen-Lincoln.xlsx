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Henle/Documents/Dateien/Publikationen/Methodenbuch/Ulmer Texte/Daten/ExcelOnline-Tabellen/"/>
    </mc:Choice>
  </mc:AlternateContent>
  <xr:revisionPtr revIDLastSave="0" documentId="13_ncr:1_{BDA26B0F-3CD2-5A45-8081-02898577DEAC}" xr6:coauthVersionLast="47" xr6:coauthVersionMax="47" xr10:uidLastSave="{00000000-0000-0000-0000-000000000000}"/>
  <bookViews>
    <workbookView xWindow="3280" yWindow="5220" windowWidth="18460" windowHeight="10860" xr2:uid="{00000000-000D-0000-FFFF-FFFF00000000}"/>
  </bookViews>
  <sheets>
    <sheet name="Wiederhergestellt_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  <c r="G32" i="1"/>
  <c r="E26" i="1"/>
  <c r="E27" i="1"/>
  <c r="E28" i="1"/>
  <c r="E25" i="1"/>
  <c r="F25" i="1" l="1"/>
  <c r="G25" i="1"/>
  <c r="H25" i="1"/>
  <c r="F26" i="1"/>
  <c r="G26" i="1"/>
  <c r="H26" i="1"/>
  <c r="F27" i="1"/>
  <c r="G27" i="1"/>
  <c r="H27" i="1"/>
  <c r="F28" i="1"/>
  <c r="G28" i="1"/>
  <c r="H28" i="1"/>
  <c r="I27" i="1" l="1"/>
  <c r="K27" i="1" s="1"/>
  <c r="L27" i="1"/>
  <c r="N27" i="1" s="1"/>
  <c r="I26" i="1"/>
  <c r="K26" i="1" s="1"/>
  <c r="L26" i="1"/>
  <c r="M26" i="1" s="1"/>
  <c r="I28" i="1"/>
  <c r="K28" i="1" s="1"/>
  <c r="L28" i="1"/>
  <c r="M28" i="1" s="1"/>
  <c r="L25" i="1"/>
  <c r="N25" i="1" s="1"/>
  <c r="I25" i="1"/>
  <c r="K25" i="1" s="1"/>
  <c r="F32" i="1"/>
  <c r="N28" i="1" l="1"/>
  <c r="J26" i="1"/>
  <c r="M25" i="1"/>
  <c r="N26" i="1"/>
  <c r="J27" i="1"/>
  <c r="M27" i="1"/>
  <c r="J25" i="1"/>
  <c r="J28" i="1"/>
  <c r="I32" i="1" l="1"/>
  <c r="K32" i="1" s="1"/>
  <c r="J32" i="1"/>
</calcChain>
</file>

<file path=xl/sharedStrings.xml><?xml version="1.0" encoding="utf-8"?>
<sst xmlns="http://schemas.openxmlformats.org/spreadsheetml/2006/main" count="64" uniqueCount="55">
  <si>
    <t>Modell Mo</t>
  </si>
  <si>
    <t>n1</t>
  </si>
  <si>
    <t>n2</t>
  </si>
  <si>
    <t>m2</t>
  </si>
  <si>
    <t>Nb</t>
  </si>
  <si>
    <t>N0</t>
  </si>
  <si>
    <t>95% CI unten</t>
  </si>
  <si>
    <t>95% CI-oben</t>
  </si>
  <si>
    <t>Fangtage</t>
  </si>
  <si>
    <t>1;2</t>
  </si>
  <si>
    <t>3;4</t>
  </si>
  <si>
    <t>5;6</t>
  </si>
  <si>
    <t>1-3;4-6</t>
  </si>
  <si>
    <t>Tabelle 10.1, Beispiel 10.4 Schätzung der Populationsgröße der Mauereidechse mit zusammengefassten Fangdaten mit der Chapman Korrektur der Licoln-Petersen Methode</t>
  </si>
  <si>
    <t>Modell M0</t>
  </si>
  <si>
    <t>Standardfehler</t>
  </si>
  <si>
    <t>95% CI-unten</t>
  </si>
  <si>
    <t>obere Grenze des 95% Vertrauensintervalls unter Annahme einer Normalverteilung</t>
  </si>
  <si>
    <t>untere Grenze des 95% Vertrauensintervalls unter Annahme einer Normalverteilung</t>
  </si>
  <si>
    <t>Anmerkung</t>
  </si>
  <si>
    <t>Der z-Wert für ein 95% Vertrauensinterval is 1,96</t>
  </si>
  <si>
    <t>Der negative Wert beim Modell Mb mit Verhaltenseffekten wird ignoriert, weil negative Populationsgrößen nicht real sind.</t>
  </si>
  <si>
    <t>Mt+1</t>
  </si>
  <si>
    <t>Chao C</t>
  </si>
  <si>
    <t xml:space="preserve">Anzahl der bei der zweiten Erfassung gefangenen markierten Individuen </t>
  </si>
  <si>
    <t>Anzahl der insgesamt markierten Individuen (in Erfassung 1 und 2 zusammen)</t>
  </si>
  <si>
    <t>Petersen Schätzwert der Populationsgröße bei Verhalteneffekten</t>
  </si>
  <si>
    <t>Petersen Schätzwert der Populationsgröße, wenn die Fangwahrscheinlichkeit konstant ist</t>
  </si>
  <si>
    <t>Verhaltensmodell</t>
  </si>
  <si>
    <t>Datenquelle</t>
  </si>
  <si>
    <t>Parameterdefinitionen</t>
  </si>
  <si>
    <r>
      <t>Bender, C., Hildenbrandt, H., Schmidt-Loske, K. et al. (1996): Consolidation of vineyards, mitigations, and survival of the common wall lizard (</t>
    </r>
    <r>
      <rPr>
        <i/>
        <sz val="12"/>
        <rFont val="Times New Roman"/>
        <family val="1"/>
      </rPr>
      <t>Podarcis muralis</t>
    </r>
    <r>
      <rPr>
        <sz val="12"/>
        <rFont val="Times New Roman"/>
        <family val="1"/>
      </rPr>
      <t>) in isolated habitat fragments. – S. 248–261 in: Settele, J., Margules, C.R., Poschlod, P., Henle, K. (Hrsg.): Species Survival in Fragmented Landscapes. – Kluwer, Dordrecht</t>
    </r>
  </si>
  <si>
    <t>Bender &amp; Henle unveröffentlicht</t>
  </si>
  <si>
    <t>Anzahl bei der zweiten Erfassung markierten Individuen (in der letzten Datenzeile sind die Tage 4-6  zusammengefasst)</t>
  </si>
  <si>
    <t>Anzahl bei der ersten Erfassung markierten Individuen (in der letzten Datenzeile sind die Tage 1-3  zusammengefasst)</t>
  </si>
  <si>
    <t>s.e.</t>
  </si>
  <si>
    <t>C-Wert zur Vertrauensintervall-Schätzung nach der Formel von Chao (1989) - Formel 2.3 im Kapitel 2.3</t>
  </si>
  <si>
    <t>Parameterschätzungen</t>
  </si>
  <si>
    <t>Daten</t>
  </si>
  <si>
    <t>Analysen</t>
  </si>
  <si>
    <t>Var(N0)</t>
  </si>
  <si>
    <t>C-Wert</t>
  </si>
  <si>
    <t>95% Ci-unten</t>
  </si>
  <si>
    <t>95% Ci-oben</t>
  </si>
  <si>
    <t>Nb-quer</t>
  </si>
  <si>
    <t>N0-quer</t>
  </si>
  <si>
    <t>Var (N0-quer)</t>
  </si>
  <si>
    <t>s.e. (N0)</t>
  </si>
  <si>
    <t>Die Varianz für N-quer beträgt näherungsweise die Summe der Varianzen für die 3 geschätzten Populationsgrößen / 2</t>
  </si>
  <si>
    <t>Chao-Methode für Vertrauensintervall</t>
  </si>
  <si>
    <t>Nib</t>
  </si>
  <si>
    <t>Ni0</t>
  </si>
  <si>
    <t>Hier verwenden wir Formeln mit Bias-Korrektur für die Schätzung von Ni0</t>
  </si>
  <si>
    <t>Die selben Formeln gelten für deren Varianz</t>
  </si>
  <si>
    <t>Es gibt verschiedene Vorschläge zur Schätzung des Mittelwertes und dessen Varianz. Hier verwenden wir Formel 1.9 in Seber (1982) ohne Bias-Korrektur  - Teilen durch 2 statt 3 - für den Mittelwert und dessen Varianz. Bei Bias-Korrektur müsste in Zelle H32 durch 2*1 statt durch 3*2 geteilt werden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</si>
</sst>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Geneva"/>
    </font>
    <font>
      <sz val="10"/>
      <name val="Geneva"/>
      <family val="2"/>
    </font>
    <font>
      <b/>
      <sz val="10"/>
      <name val="Geneva"/>
      <family val="2"/>
    </font>
    <font>
      <sz val="12"/>
      <name val="Times New Roman"/>
      <family val="1"/>
    </font>
    <font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2" fontId="0" fillId="0" borderId="0" xfId="0" applyNumberFormat="1"/>
    <xf numFmtId="0" fontId="1" fillId="0" borderId="0" xfId="0" applyFont="1"/>
    <xf numFmtId="0" fontId="2" fillId="0" borderId="0" xfId="0" applyFont="1"/>
    <xf numFmtId="1" fontId="1" fillId="0" borderId="0" xfId="0" applyNumberFormat="1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topLeftCell="D23" workbookViewId="0">
      <selection activeCell="H32" sqref="H32"/>
    </sheetView>
  </sheetViews>
  <sheetFormatPr baseColWidth="10" defaultRowHeight="14" x14ac:dyDescent="0.2"/>
  <cols>
    <col min="6" max="6" width="14.7109375" customWidth="1"/>
  </cols>
  <sheetData>
    <row r="1" spans="1:2" x14ac:dyDescent="0.2">
      <c r="A1" s="4" t="s">
        <v>13</v>
      </c>
    </row>
    <row r="2" spans="1:2" ht="16" x14ac:dyDescent="0.2">
      <c r="A2" s="3" t="s">
        <v>29</v>
      </c>
      <c r="B2" s="6" t="s">
        <v>31</v>
      </c>
    </row>
    <row r="3" spans="1:2" ht="16" x14ac:dyDescent="0.2">
      <c r="A3" s="3"/>
      <c r="B3" s="6" t="s">
        <v>32</v>
      </c>
    </row>
    <row r="4" spans="1:2" x14ac:dyDescent="0.2">
      <c r="A4" s="4"/>
    </row>
    <row r="5" spans="1:2" x14ac:dyDescent="0.2">
      <c r="A5" s="4" t="s">
        <v>30</v>
      </c>
    </row>
    <row r="6" spans="1:2" s="3" customFormat="1" x14ac:dyDescent="0.2">
      <c r="A6" s="3" t="s">
        <v>1</v>
      </c>
      <c r="B6" s="3" t="s">
        <v>34</v>
      </c>
    </row>
    <row r="7" spans="1:2" s="3" customFormat="1" x14ac:dyDescent="0.2">
      <c r="A7" s="3" t="s">
        <v>2</v>
      </c>
      <c r="B7" s="3" t="s">
        <v>33</v>
      </c>
    </row>
    <row r="8" spans="1:2" s="3" customFormat="1" x14ac:dyDescent="0.2">
      <c r="A8" s="3" t="s">
        <v>3</v>
      </c>
      <c r="B8" s="3" t="s">
        <v>24</v>
      </c>
    </row>
    <row r="9" spans="1:2" s="3" customFormat="1" x14ac:dyDescent="0.2">
      <c r="A9" s="3" t="s">
        <v>22</v>
      </c>
      <c r="B9" s="3" t="s">
        <v>25</v>
      </c>
    </row>
    <row r="10" spans="1:2" s="3" customFormat="1" x14ac:dyDescent="0.2">
      <c r="A10" s="3" t="s">
        <v>4</v>
      </c>
      <c r="B10" s="3" t="s">
        <v>26</v>
      </c>
    </row>
    <row r="11" spans="1:2" s="3" customFormat="1" x14ac:dyDescent="0.2">
      <c r="A11" s="3" t="s">
        <v>5</v>
      </c>
      <c r="B11" s="3" t="s">
        <v>27</v>
      </c>
    </row>
    <row r="12" spans="1:2" s="3" customFormat="1" x14ac:dyDescent="0.2">
      <c r="A12" s="3" t="s">
        <v>35</v>
      </c>
      <c r="B12" s="3" t="s">
        <v>15</v>
      </c>
    </row>
    <row r="13" spans="1:2" s="3" customFormat="1" x14ac:dyDescent="0.2">
      <c r="A13" s="3" t="s">
        <v>7</v>
      </c>
      <c r="B13" s="3" t="s">
        <v>17</v>
      </c>
    </row>
    <row r="14" spans="1:2" s="3" customFormat="1" x14ac:dyDescent="0.2">
      <c r="A14" s="3" t="s">
        <v>16</v>
      </c>
      <c r="B14" s="3" t="s">
        <v>18</v>
      </c>
    </row>
    <row r="15" spans="1:2" s="3" customFormat="1" x14ac:dyDescent="0.2">
      <c r="A15" s="3" t="s">
        <v>23</v>
      </c>
      <c r="B15" s="3" t="s">
        <v>36</v>
      </c>
    </row>
    <row r="16" spans="1:2" s="3" customFormat="1" x14ac:dyDescent="0.2"/>
    <row r="17" spans="1:14" s="3" customFormat="1" x14ac:dyDescent="0.2">
      <c r="A17" s="3" t="s">
        <v>19</v>
      </c>
      <c r="B17" s="3" t="s">
        <v>20</v>
      </c>
    </row>
    <row r="18" spans="1:14" s="3" customFormat="1" x14ac:dyDescent="0.2">
      <c r="B18" s="3" t="s">
        <v>21</v>
      </c>
    </row>
    <row r="19" spans="1:14" s="3" customFormat="1" x14ac:dyDescent="0.2">
      <c r="B19" s="3" t="s">
        <v>48</v>
      </c>
    </row>
    <row r="20" spans="1:14" s="3" customFormat="1" x14ac:dyDescent="0.2"/>
    <row r="21" spans="1:14" s="3" customFormat="1" x14ac:dyDescent="0.2">
      <c r="A21" s="4" t="s">
        <v>37</v>
      </c>
    </row>
    <row r="22" spans="1:14" s="3" customFormat="1" x14ac:dyDescent="0.2">
      <c r="A22" s="4"/>
      <c r="B22" s="3" t="s">
        <v>38</v>
      </c>
      <c r="E22" s="3" t="s">
        <v>39</v>
      </c>
    </row>
    <row r="23" spans="1:14" x14ac:dyDescent="0.2">
      <c r="F23" s="3" t="s">
        <v>28</v>
      </c>
      <c r="G23" t="s">
        <v>0</v>
      </c>
      <c r="H23" s="3" t="s">
        <v>14</v>
      </c>
      <c r="L23" s="3" t="s">
        <v>49</v>
      </c>
    </row>
    <row r="24" spans="1:14" x14ac:dyDescent="0.2">
      <c r="A24" s="3" t="s">
        <v>8</v>
      </c>
      <c r="B24" t="s">
        <v>1</v>
      </c>
      <c r="C24" t="s">
        <v>2</v>
      </c>
      <c r="D24" t="s">
        <v>3</v>
      </c>
      <c r="E24" s="3" t="s">
        <v>22</v>
      </c>
      <c r="F24" s="3" t="s">
        <v>50</v>
      </c>
      <c r="G24" s="3" t="s">
        <v>51</v>
      </c>
      <c r="H24" s="3" t="s">
        <v>40</v>
      </c>
      <c r="I24" s="3" t="s">
        <v>47</v>
      </c>
      <c r="J24" s="3" t="s">
        <v>6</v>
      </c>
      <c r="K24" s="3" t="s">
        <v>7</v>
      </c>
      <c r="L24" s="3" t="s">
        <v>41</v>
      </c>
      <c r="M24" s="3" t="s">
        <v>42</v>
      </c>
      <c r="N24" s="3" t="s">
        <v>43</v>
      </c>
    </row>
    <row r="25" spans="1:14" x14ac:dyDescent="0.2">
      <c r="A25" s="3" t="s">
        <v>9</v>
      </c>
      <c r="B25">
        <v>35</v>
      </c>
      <c r="C25">
        <v>37</v>
      </c>
      <c r="D25">
        <v>9</v>
      </c>
      <c r="E25">
        <f>B25+C25-D25</f>
        <v>63</v>
      </c>
      <c r="F25">
        <f>B25^2/(B25-C25+D25)</f>
        <v>175</v>
      </c>
      <c r="G25" s="1">
        <f>(B25+1)*(C25+1)/(D25+1)-1</f>
        <v>135.80000000000001</v>
      </c>
      <c r="H25" s="2">
        <f>(B25+1)*(C25+1)*(B25-D25)*(C25-D25)/(D25+1)^2/(D25+2)</f>
        <v>905.36727272727285</v>
      </c>
      <c r="I25" s="1">
        <f>H25^0.5</f>
        <v>30.089321573064304</v>
      </c>
      <c r="J25" s="1">
        <f>G25-1.96*I25</f>
        <v>76.824929716793974</v>
      </c>
      <c r="K25" s="1">
        <f>G25+1.96*I25</f>
        <v>194.77507028320605</v>
      </c>
      <c r="L25">
        <f>EXP(1.96*(LN(1+H25/((G25-E25)^2))))</f>
        <v>1.3622202345218042</v>
      </c>
      <c r="M25" s="1">
        <f>E25+(G25-E25)/L25</f>
        <v>116.44216607203447</v>
      </c>
      <c r="N25" s="1">
        <f>E25+(G25-E25)*L25</f>
        <v>162.16963307318736</v>
      </c>
    </row>
    <row r="26" spans="1:14" x14ac:dyDescent="0.2">
      <c r="A26" s="3" t="s">
        <v>10</v>
      </c>
      <c r="B26">
        <v>32</v>
      </c>
      <c r="C26">
        <v>45</v>
      </c>
      <c r="D26">
        <v>9</v>
      </c>
      <c r="E26">
        <f t="shared" ref="E26:E28" si="0">B26+C26-D26</f>
        <v>68</v>
      </c>
      <c r="F26">
        <f>B26^2/(B26-C26+D26)</f>
        <v>-256</v>
      </c>
      <c r="G26" s="1">
        <f>(B26+1)*(C26+1)/(D26+1)-1</f>
        <v>150.80000000000001</v>
      </c>
      <c r="H26" s="2">
        <f>(B26+1)*(C26+1)*(B26-D26)*(C26-D26)/(D26+1)^2/(D26+2)</f>
        <v>1142.6400000000001</v>
      </c>
      <c r="I26" s="1">
        <f t="shared" ref="I26:I28" si="1">H26^0.5</f>
        <v>33.802958450407857</v>
      </c>
      <c r="J26" s="1">
        <f t="shared" ref="J26:J28" si="2">G26-1.96*I26</f>
        <v>84.546201437200608</v>
      </c>
      <c r="K26" s="1">
        <f t="shared" ref="K26:K28" si="3">G26+1.96*I26</f>
        <v>217.05379856279941</v>
      </c>
      <c r="L26">
        <f t="shared" ref="L26:L28" si="4">EXP(1.96*(LN(1+H26/((G26-E26)^2))))</f>
        <v>1.352744284536076</v>
      </c>
      <c r="M26" s="1">
        <f t="shared" ref="M26:M28" si="5">E26+(G26-E26)/L26</f>
        <v>129.20890766017635</v>
      </c>
      <c r="N26" s="1">
        <f t="shared" ref="N26:N28" si="6">E26+(G26-E26)*L26</f>
        <v>180.00722675958713</v>
      </c>
    </row>
    <row r="27" spans="1:14" x14ac:dyDescent="0.2">
      <c r="A27" s="3" t="s">
        <v>11</v>
      </c>
      <c r="B27">
        <v>44</v>
      </c>
      <c r="C27">
        <v>42</v>
      </c>
      <c r="D27">
        <v>12</v>
      </c>
      <c r="E27">
        <f t="shared" si="0"/>
        <v>74</v>
      </c>
      <c r="F27" s="1">
        <f>B27^2/(B27-C27+D27)</f>
        <v>138.28571428571428</v>
      </c>
      <c r="G27" s="1">
        <f>(B27+1)*(C27+1)/(D27+1)-1</f>
        <v>147.84615384615384</v>
      </c>
      <c r="H27" s="2">
        <f>(B27+1)*(C27+1)*(B27-D27)*(C27-D27)/(D27+1)^2/(D27+2)</f>
        <v>785.12256973795434</v>
      </c>
      <c r="I27" s="1">
        <f t="shared" si="1"/>
        <v>28.020038717638389</v>
      </c>
      <c r="J27" s="1">
        <f t="shared" si="2"/>
        <v>92.926877959582598</v>
      </c>
      <c r="K27" s="1">
        <f t="shared" si="3"/>
        <v>202.76542973272507</v>
      </c>
      <c r="L27">
        <f t="shared" si="4"/>
        <v>1.3016525611381686</v>
      </c>
      <c r="M27" s="1">
        <f t="shared" si="5"/>
        <v>130.7326151777265</v>
      </c>
      <c r="N27" s="1">
        <f t="shared" si="6"/>
        <v>170.12203528404936</v>
      </c>
    </row>
    <row r="28" spans="1:14" x14ac:dyDescent="0.2">
      <c r="A28" s="3" t="s">
        <v>12</v>
      </c>
      <c r="B28">
        <v>74</v>
      </c>
      <c r="C28">
        <v>91</v>
      </c>
      <c r="D28">
        <v>46</v>
      </c>
      <c r="E28">
        <f t="shared" si="0"/>
        <v>119</v>
      </c>
      <c r="F28" s="1">
        <f>B28^2/(B28-C28+D28)</f>
        <v>188.82758620689654</v>
      </c>
      <c r="G28" s="1">
        <f>(B28+1)*(C28+1)/(D28+1)-1</f>
        <v>145.80851063829786</v>
      </c>
      <c r="H28" s="2">
        <f>(B28+1)*(C28+1)*(B28-D28)*(C28-D28)/(D28+1)^2/(D28+2)</f>
        <v>81.994114984155729</v>
      </c>
      <c r="I28" s="1">
        <f t="shared" si="1"/>
        <v>9.0550601866666653</v>
      </c>
      <c r="J28" s="1">
        <f t="shared" si="2"/>
        <v>128.0605926724312</v>
      </c>
      <c r="K28" s="1">
        <f t="shared" si="3"/>
        <v>163.55642860416452</v>
      </c>
      <c r="L28">
        <f t="shared" si="4"/>
        <v>1.2358383824743655</v>
      </c>
      <c r="M28" s="1">
        <f t="shared" si="5"/>
        <v>140.69257001439178</v>
      </c>
      <c r="N28" s="1">
        <f t="shared" si="6"/>
        <v>152.13098642378085</v>
      </c>
    </row>
    <row r="29" spans="1:14" x14ac:dyDescent="0.2">
      <c r="I29" s="1"/>
    </row>
    <row r="31" spans="1:14" x14ac:dyDescent="0.2">
      <c r="F31" s="3" t="s">
        <v>44</v>
      </c>
      <c r="G31" s="3" t="s">
        <v>45</v>
      </c>
      <c r="H31" s="3" t="s">
        <v>46</v>
      </c>
      <c r="I31" s="3" t="s">
        <v>47</v>
      </c>
      <c r="J31" s="3" t="s">
        <v>6</v>
      </c>
      <c r="K31" s="3" t="s">
        <v>7</v>
      </c>
    </row>
    <row r="32" spans="1:14" x14ac:dyDescent="0.2">
      <c r="F32" s="1">
        <f>(F25+F27)/2</f>
        <v>156.64285714285714</v>
      </c>
      <c r="G32" s="1">
        <f>(G25+G26+G27)/3</f>
        <v>144.8153846153846</v>
      </c>
      <c r="H32" s="2">
        <f>((G25-G32)^2+(G26-G32)^2+(G27-G32)^2)/3/2</f>
        <v>21.046390532544361</v>
      </c>
      <c r="I32" s="1">
        <f>H32^0.5</f>
        <v>4.5876345247354173</v>
      </c>
      <c r="J32" s="1">
        <f>G32-1.96*I32</f>
        <v>135.82362094690319</v>
      </c>
      <c r="K32" s="1">
        <f>G32+1.96*I32</f>
        <v>153.80714828386601</v>
      </c>
    </row>
    <row r="33" spans="1:9" x14ac:dyDescent="0.2">
      <c r="I33" s="1"/>
    </row>
    <row r="34" spans="1:9" x14ac:dyDescent="0.2">
      <c r="A34" s="3" t="s">
        <v>19</v>
      </c>
      <c r="B34" s="3" t="s">
        <v>52</v>
      </c>
      <c r="H34" s="3"/>
      <c r="I34" s="5"/>
    </row>
    <row r="35" spans="1:9" x14ac:dyDescent="0.2">
      <c r="B35" s="3" t="s">
        <v>53</v>
      </c>
    </row>
    <row r="36" spans="1:9" x14ac:dyDescent="0.2">
      <c r="B36" s="3" t="s">
        <v>54</v>
      </c>
    </row>
  </sheetData>
  <printOptions gridLines="1" gridLinesSet="0"/>
  <pageMargins left="0.78740157499999996" right="0.78740157499999996" top="0.984251969" bottom="0.984251969" header="0.4921259845" footer="0.4921259845"/>
  <pageSetup paperSize="0" scale="0" orientation="portrait" horizontalDpi="0" verticalDpi="0" copies="0"/>
  <headerFooter alignWithMargins="0">
    <oddHeader>&amp;F</oddHeader>
    <oddFooter>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Wiederhergestellt_Tabelle1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2023-04-15T10:30:26Z</dcterms:created>
  <dcterms:modified xsi:type="dcterms:W3CDTF">2025-10-27T11:44:11Z</dcterms:modified>
</cp:coreProperties>
</file>