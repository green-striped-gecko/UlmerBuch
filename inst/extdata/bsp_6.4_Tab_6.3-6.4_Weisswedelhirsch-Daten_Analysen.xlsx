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nle/Documents/Dateien/Publikationen/Methodenbuch/Ulmer Texte/Daten/ExcelOnline-Tabellen/"/>
    </mc:Choice>
  </mc:AlternateContent>
  <xr:revisionPtr revIDLastSave="0" documentId="13_ncr:1_{598E8FFE-CB8B-CA42-9687-1CFE7AA9ECBB}" xr6:coauthVersionLast="47" xr6:coauthVersionMax="47" xr10:uidLastSave="{00000000-0000-0000-0000-000000000000}"/>
  <bookViews>
    <workbookView xWindow="1020" yWindow="1540" windowWidth="28800" windowHeight="16140" xr2:uid="{DBB2CB1E-57FC-F349-9D97-0D2E8607D41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5" i="1" l="1"/>
  <c r="Q26" i="1"/>
  <c r="Q24" i="1"/>
  <c r="F19" i="1"/>
  <c r="F20" i="1"/>
  <c r="F18" i="1"/>
  <c r="G26" i="1"/>
  <c r="G25" i="1"/>
  <c r="G24" i="1"/>
  <c r="F25" i="1" l="1"/>
  <c r="F26" i="1"/>
  <c r="F24" i="1"/>
  <c r="E25" i="1"/>
  <c r="E26" i="1"/>
  <c r="E24" i="1"/>
  <c r="D25" i="1"/>
  <c r="L25" i="1" s="1"/>
  <c r="D26" i="1"/>
  <c r="O26" i="1" s="1"/>
  <c r="P26" i="1" s="1"/>
  <c r="D24" i="1"/>
  <c r="O24" i="1" s="1"/>
  <c r="P24" i="1" s="1"/>
  <c r="C25" i="1"/>
  <c r="C26" i="1"/>
  <c r="C24" i="1"/>
  <c r="B24" i="1"/>
  <c r="B26" i="1"/>
  <c r="B25" i="1"/>
  <c r="I25" i="1" l="1"/>
  <c r="H24" i="1"/>
  <c r="I24" i="1"/>
  <c r="I26" i="1"/>
  <c r="H25" i="1"/>
  <c r="K26" i="1"/>
  <c r="J24" i="1"/>
  <c r="J26" i="1"/>
  <c r="K24" i="1"/>
  <c r="J25" i="1"/>
  <c r="O25" i="1"/>
  <c r="P25" i="1" s="1"/>
  <c r="A29" i="1" s="1"/>
  <c r="H26" i="1"/>
  <c r="N24" i="1"/>
  <c r="N26" i="1"/>
  <c r="L24" i="1"/>
  <c r="K25" i="1"/>
  <c r="N25" i="1"/>
  <c r="L26" i="1"/>
  <c r="M24" i="1" l="1"/>
  <c r="M25" i="1"/>
  <c r="M26" i="1"/>
  <c r="B29" i="1" l="1"/>
</calcChain>
</file>

<file path=xl/sharedStrings.xml><?xml version="1.0" encoding="utf-8"?>
<sst xmlns="http://schemas.openxmlformats.org/spreadsheetml/2006/main" count="54" uniqueCount="46">
  <si>
    <t>p1</t>
  </si>
  <si>
    <t>p2</t>
  </si>
  <si>
    <t>p</t>
  </si>
  <si>
    <t>Theta1</t>
  </si>
  <si>
    <t>Theta2</t>
  </si>
  <si>
    <t>Var(p)</t>
  </si>
  <si>
    <t>Var(N)</t>
  </si>
  <si>
    <t>x11</t>
  </si>
  <si>
    <t>x21</t>
  </si>
  <si>
    <t>x22</t>
  </si>
  <si>
    <t>x12</t>
  </si>
  <si>
    <t>Ngesamt</t>
  </si>
  <si>
    <t>Gruppengröße</t>
  </si>
  <si>
    <t>Summe (x..)</t>
  </si>
  <si>
    <t>Nachweiswahrscheinlichkeit für den 1. Beobachter</t>
  </si>
  <si>
    <t>Nachweiswahrscheinlichkeit für den 2. Beobachter</t>
  </si>
  <si>
    <t>Kombinierte Nachweiswahrscheinlichkeit</t>
  </si>
  <si>
    <t>Wird als Zwischenschritt zur Schätzung der Varianz von p benötigt</t>
  </si>
  <si>
    <t>Anzahl Teilflächen</t>
  </si>
  <si>
    <t>Anzahl Probeflächen</t>
  </si>
  <si>
    <t>Anteil Probeflächen</t>
  </si>
  <si>
    <t>1/(p1*Theta1)</t>
  </si>
  <si>
    <t>1/[p1*(1-p2)*Theta2]</t>
  </si>
  <si>
    <t>1/(p2*Theta2)</t>
  </si>
  <si>
    <t>1/[p2*(1-p1)*Theta1]</t>
  </si>
  <si>
    <t>Datenquelle</t>
  </si>
  <si>
    <t>Tab. 6.3 &amp; 6.4, Beispiel 6.4: Double Observer Approach zur Schätzung der Populationsgröße von Weißwedelhirschen</t>
  </si>
  <si>
    <t>Cook, R.D., Jacobson, J.O. (1979): A design for estimating visibility bias in aerial surveys. – Biometrics 35: 735–742</t>
  </si>
  <si>
    <t>Parameterdefinitionen</t>
  </si>
  <si>
    <t>Anzahl der im ersten Teil der Erfassung vom Primärbeobachter entdeckten Gruppen</t>
  </si>
  <si>
    <t>Anzahl der im ersten Teil der Erfassung vom Sekundärbeobachter entdeckten Gruppen, die vom Primärbeobachter übersehen wurden</t>
  </si>
  <si>
    <t>Anzahl der im zweiten Teil der Erfassung vom Primärbeobachter entdeckten Gruppen</t>
  </si>
  <si>
    <t>Anzahl der im zweiten Teil der Erfassung vom Sekundärbeobachter entdeckten Gruppen, die vom Primärbeobachter übersehen wurden</t>
  </si>
  <si>
    <t>X..</t>
  </si>
  <si>
    <t>x11+x12+x21+x22</t>
  </si>
  <si>
    <t>Theta:</t>
  </si>
  <si>
    <t>Parameterschätzungen</t>
  </si>
  <si>
    <t>(1-p)^2*p/x..</t>
  </si>
  <si>
    <t>Ni</t>
  </si>
  <si>
    <t>Ni (alle Flächen)</t>
  </si>
  <si>
    <t>N gesamt (alle Gruppen)</t>
  </si>
  <si>
    <t>geschätzte Anzahl Gruppen der Größe i auf den beprobten Flächen</t>
  </si>
  <si>
    <t>Ni (alle) gerundet</t>
  </si>
  <si>
    <t>Varianz</t>
  </si>
  <si>
    <t>Populationsgröße der Weißwedelhirsche im gesamten Untersuchungsgebiet</t>
  </si>
  <si>
    <t>Die Werte weichen teilweise leicht von den von Cook &amp; Jacobson (1979) publizierten Werten ab, da wir keine Rundungen der Zwischenwerte vorgenommen haben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</si>
</sst>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F9381-1799-C346-9142-9C7F56A68093}">
  <dimension ref="A1:Q31"/>
  <sheetViews>
    <sheetView tabSelected="1" topLeftCell="A16" workbookViewId="0">
      <selection activeCell="Q24" sqref="Q24:Q26"/>
    </sheetView>
  </sheetViews>
  <sheetFormatPr baseColWidth="10" defaultRowHeight="16" x14ac:dyDescent="0.2"/>
  <cols>
    <col min="1" max="1" width="22" customWidth="1"/>
    <col min="7" max="7" width="19.83203125" customWidth="1"/>
    <col min="8" max="8" width="18.83203125" customWidth="1"/>
    <col min="9" max="9" width="16.6640625" customWidth="1"/>
    <col min="10" max="10" width="13.1640625" customWidth="1"/>
    <col min="11" max="11" width="13.33203125" customWidth="1"/>
    <col min="12" max="12" width="20.5" customWidth="1"/>
    <col min="13" max="13" width="12.83203125" customWidth="1"/>
    <col min="15" max="15" width="15.33203125" customWidth="1"/>
    <col min="16" max="16" width="15" customWidth="1"/>
  </cols>
  <sheetData>
    <row r="1" spans="1:2" x14ac:dyDescent="0.2">
      <c r="A1" s="2" t="s">
        <v>26</v>
      </c>
    </row>
    <row r="2" spans="1:2" x14ac:dyDescent="0.2">
      <c r="A2" t="s">
        <v>25</v>
      </c>
      <c r="B2" s="3" t="s">
        <v>27</v>
      </c>
    </row>
    <row r="3" spans="1:2" x14ac:dyDescent="0.2">
      <c r="A3" s="2"/>
    </row>
    <row r="4" spans="1:2" x14ac:dyDescent="0.2">
      <c r="A4" s="2" t="s">
        <v>28</v>
      </c>
    </row>
    <row r="5" spans="1:2" x14ac:dyDescent="0.2">
      <c r="A5" t="s">
        <v>7</v>
      </c>
      <c r="B5" t="s">
        <v>29</v>
      </c>
    </row>
    <row r="6" spans="1:2" x14ac:dyDescent="0.2">
      <c r="A6" t="s">
        <v>10</v>
      </c>
      <c r="B6" t="s">
        <v>30</v>
      </c>
    </row>
    <row r="7" spans="1:2" x14ac:dyDescent="0.2">
      <c r="A7" t="s">
        <v>8</v>
      </c>
      <c r="B7" t="s">
        <v>31</v>
      </c>
    </row>
    <row r="8" spans="1:2" x14ac:dyDescent="0.2">
      <c r="A8" t="s">
        <v>9</v>
      </c>
      <c r="B8" t="s">
        <v>32</v>
      </c>
    </row>
    <row r="9" spans="1:2" x14ac:dyDescent="0.2">
      <c r="A9" t="s">
        <v>33</v>
      </c>
      <c r="B9" t="s">
        <v>34</v>
      </c>
    </row>
    <row r="10" spans="1:2" x14ac:dyDescent="0.2">
      <c r="A10" t="s">
        <v>38</v>
      </c>
      <c r="B10" t="s">
        <v>41</v>
      </c>
    </row>
    <row r="11" spans="1:2" x14ac:dyDescent="0.2">
      <c r="A11" t="s">
        <v>11</v>
      </c>
      <c r="B11" t="s">
        <v>44</v>
      </c>
    </row>
    <row r="12" spans="1:2" x14ac:dyDescent="0.2">
      <c r="A12" t="s">
        <v>0</v>
      </c>
      <c r="B12" t="s">
        <v>14</v>
      </c>
    </row>
    <row r="13" spans="1:2" x14ac:dyDescent="0.2">
      <c r="A13" t="s">
        <v>1</v>
      </c>
      <c r="B13" t="s">
        <v>15</v>
      </c>
    </row>
    <row r="14" spans="1:2" x14ac:dyDescent="0.2">
      <c r="A14" t="s">
        <v>2</v>
      </c>
      <c r="B14" t="s">
        <v>16</v>
      </c>
    </row>
    <row r="15" spans="1:2" x14ac:dyDescent="0.2">
      <c r="A15" t="s">
        <v>35</v>
      </c>
      <c r="B15" t="s">
        <v>17</v>
      </c>
    </row>
    <row r="17" spans="1:17" x14ac:dyDescent="0.2">
      <c r="A17" t="s">
        <v>12</v>
      </c>
      <c r="B17" t="s">
        <v>7</v>
      </c>
      <c r="C17" t="s">
        <v>8</v>
      </c>
      <c r="D17" t="s">
        <v>9</v>
      </c>
      <c r="E17" t="s">
        <v>10</v>
      </c>
      <c r="F17" t="s">
        <v>13</v>
      </c>
      <c r="H17" t="s">
        <v>18</v>
      </c>
      <c r="I17" t="s">
        <v>19</v>
      </c>
    </row>
    <row r="18" spans="1:17" x14ac:dyDescent="0.2">
      <c r="A18" s="1">
        <v>1</v>
      </c>
      <c r="B18" s="1">
        <v>8</v>
      </c>
      <c r="C18" s="1">
        <v>4</v>
      </c>
      <c r="D18" s="1">
        <v>5</v>
      </c>
      <c r="E18" s="1">
        <v>3</v>
      </c>
      <c r="F18" s="1">
        <f>SUM(B18:E18)</f>
        <v>20</v>
      </c>
      <c r="G18" s="1"/>
      <c r="H18" s="1">
        <v>149</v>
      </c>
      <c r="I18" s="1">
        <v>57</v>
      </c>
    </row>
    <row r="19" spans="1:17" x14ac:dyDescent="0.2">
      <c r="A19" s="1">
        <v>2</v>
      </c>
      <c r="B19" s="1">
        <v>8</v>
      </c>
      <c r="C19" s="1">
        <v>4</v>
      </c>
      <c r="D19" s="1">
        <v>15</v>
      </c>
      <c r="E19" s="1">
        <v>5</v>
      </c>
      <c r="F19" s="1">
        <f t="shared" ref="F19:F20" si="0">SUM(B19:E19)</f>
        <v>32</v>
      </c>
      <c r="G19" s="1"/>
      <c r="H19" s="1"/>
    </row>
    <row r="20" spans="1:17" x14ac:dyDescent="0.2">
      <c r="A20" s="1">
        <v>3</v>
      </c>
      <c r="B20" s="1">
        <v>5</v>
      </c>
      <c r="C20" s="1">
        <v>2</v>
      </c>
      <c r="D20" s="1">
        <v>10</v>
      </c>
      <c r="E20" s="1">
        <v>2</v>
      </c>
      <c r="F20" s="1">
        <f t="shared" si="0"/>
        <v>19</v>
      </c>
      <c r="G20" s="1"/>
      <c r="H20" s="1"/>
    </row>
    <row r="21" spans="1:17" x14ac:dyDescent="0.2">
      <c r="A21" s="1"/>
      <c r="B21" s="1"/>
      <c r="C21" s="1"/>
      <c r="D21" s="1"/>
      <c r="E21" s="1"/>
      <c r="F21" s="1"/>
    </row>
    <row r="22" spans="1:17" x14ac:dyDescent="0.2">
      <c r="A22" s="2" t="s">
        <v>36</v>
      </c>
    </row>
    <row r="23" spans="1:17" x14ac:dyDescent="0.2">
      <c r="B23" t="s">
        <v>0</v>
      </c>
      <c r="C23" t="s">
        <v>1</v>
      </c>
      <c r="D23" t="s">
        <v>2</v>
      </c>
      <c r="E23" t="s">
        <v>3</v>
      </c>
      <c r="F23" t="s">
        <v>4</v>
      </c>
      <c r="G23" t="s">
        <v>20</v>
      </c>
      <c r="H23" t="s">
        <v>21</v>
      </c>
      <c r="I23" t="s">
        <v>23</v>
      </c>
      <c r="J23" t="s">
        <v>22</v>
      </c>
      <c r="K23" t="s">
        <v>24</v>
      </c>
      <c r="L23" t="s">
        <v>37</v>
      </c>
      <c r="M23" t="s">
        <v>5</v>
      </c>
      <c r="N23" t="s">
        <v>38</v>
      </c>
      <c r="O23" t="s">
        <v>39</v>
      </c>
      <c r="P23" t="s">
        <v>42</v>
      </c>
      <c r="Q23" t="s">
        <v>6</v>
      </c>
    </row>
    <row r="24" spans="1:17" x14ac:dyDescent="0.2">
      <c r="A24">
        <v>1</v>
      </c>
      <c r="B24">
        <f>(B18*D18-C18*E18)/(B18*D18+D18*C18)</f>
        <v>0.46666666666666667</v>
      </c>
      <c r="C24">
        <f>(B18*D18-C18*E18)/(B18*D18+B18*E18)</f>
        <v>0.4375</v>
      </c>
      <c r="D24">
        <f>1-(C18*E18)/(B18*D18)</f>
        <v>0.7</v>
      </c>
      <c r="E24">
        <f>(B18+C18)/F18</f>
        <v>0.6</v>
      </c>
      <c r="F24">
        <f>(D18+E18)/F18</f>
        <v>0.4</v>
      </c>
      <c r="G24">
        <f>I18/H18</f>
        <v>0.3825503355704698</v>
      </c>
      <c r="H24">
        <f t="shared" ref="H24:I26" si="1">1/(B24*E24)</f>
        <v>3.5714285714285716</v>
      </c>
      <c r="I24">
        <f t="shared" si="1"/>
        <v>5.7142857142857135</v>
      </c>
      <c r="J24">
        <f>1/(B24*(1-C24)*F24)</f>
        <v>9.5238095238095237</v>
      </c>
      <c r="K24">
        <f>1/(C24*(1-B24)*E24)</f>
        <v>7.1428571428571432</v>
      </c>
      <c r="L24">
        <f>(1-D24)^2*D24/F18</f>
        <v>3.1500000000000009E-3</v>
      </c>
      <c r="M24">
        <f>L24*(H24+I24+J24+K24)</f>
        <v>8.1750000000000017E-2</v>
      </c>
      <c r="N24">
        <f>F18/D24</f>
        <v>28.571428571428573</v>
      </c>
      <c r="O24">
        <f>F18/(D24*G24)</f>
        <v>74.686716791979961</v>
      </c>
      <c r="P24">
        <f>ROUND(O24,0)</f>
        <v>75</v>
      </c>
      <c r="Q24">
        <f>O24*(F18*M24/(G24*D24^3)+(1-G24*D24)/(G24*D24))</f>
        <v>1134.8515014199099</v>
      </c>
    </row>
    <row r="25" spans="1:17" x14ac:dyDescent="0.2">
      <c r="A25">
        <v>2</v>
      </c>
      <c r="B25">
        <f>(B19*D19-C19*E19)/(B19*D19+D19*C19)</f>
        <v>0.55555555555555558</v>
      </c>
      <c r="C25">
        <f>(B19*D19-C19*E19)/(B19*D19+B19*E19)</f>
        <v>0.625</v>
      </c>
      <c r="D25">
        <f>1-(C19*E19)/(B19*D19)</f>
        <v>0.83333333333333337</v>
      </c>
      <c r="E25">
        <f>(B19+C19)/F19</f>
        <v>0.375</v>
      </c>
      <c r="F25">
        <f>(D19+E19)/F19</f>
        <v>0.625</v>
      </c>
      <c r="G25">
        <f>I18/H18</f>
        <v>0.3825503355704698</v>
      </c>
      <c r="H25">
        <f t="shared" si="1"/>
        <v>4.8</v>
      </c>
      <c r="I25">
        <f t="shared" si="1"/>
        <v>2.56</v>
      </c>
      <c r="J25">
        <f>1/(B25*(1-C25)*F25)</f>
        <v>7.68</v>
      </c>
      <c r="K25">
        <f>1/(C25*(1-B25)*E25)</f>
        <v>9.6</v>
      </c>
      <c r="L25">
        <f>(1-D25)^2*D25/F19</f>
        <v>7.2337962962962937E-4</v>
      </c>
      <c r="M25">
        <f t="shared" ref="M25:M26" si="2">L25*(H25+I25+J25+K25)</f>
        <v>1.7824074074074069E-2</v>
      </c>
      <c r="N25">
        <f>F19/D25</f>
        <v>38.4</v>
      </c>
      <c r="O25">
        <f>F19/(D25*G25)</f>
        <v>100.37894736842104</v>
      </c>
      <c r="P25">
        <f t="shared" ref="P25:P26" si="3">ROUND(O25,0)</f>
        <v>100</v>
      </c>
      <c r="Q25">
        <f t="shared" ref="Q25:Q26" si="4">O25*(F19*M25/(G25*D25^3)+(1-G25*D25)/(G25*D25))</f>
        <v>473.10957680517049</v>
      </c>
    </row>
    <row r="26" spans="1:17" x14ac:dyDescent="0.2">
      <c r="A26">
        <v>3</v>
      </c>
      <c r="B26">
        <f>(B20*D20-C20*E20)/(B20*D20+D20*C20)</f>
        <v>0.65714285714285714</v>
      </c>
      <c r="C26">
        <f>(B20*D20-C20*E20)/(B20*D20+B20*E20)</f>
        <v>0.76666666666666672</v>
      </c>
      <c r="D26">
        <f>1-(C20*E20)/(B20*D20)</f>
        <v>0.92</v>
      </c>
      <c r="E26">
        <f>(B20+C20)/F20</f>
        <v>0.36842105263157893</v>
      </c>
      <c r="F26">
        <f>(D20+E20)/F20</f>
        <v>0.63157894736842102</v>
      </c>
      <c r="G26">
        <f>I18/H18</f>
        <v>0.3825503355704698</v>
      </c>
      <c r="H26">
        <f t="shared" si="1"/>
        <v>4.1304347826086962</v>
      </c>
      <c r="I26">
        <f t="shared" si="1"/>
        <v>2.0652173913043477</v>
      </c>
      <c r="J26">
        <f>1/(B26*(1-C26)*F26)</f>
        <v>10.326086956521742</v>
      </c>
      <c r="K26">
        <f>1/(C26*(1-B26)*E26)</f>
        <v>10.326086956521738</v>
      </c>
      <c r="L26">
        <f>(1-D26)^2*D26/F20</f>
        <v>3.0989473684210492E-4</v>
      </c>
      <c r="M26">
        <f t="shared" si="2"/>
        <v>8.3199999999999906E-3</v>
      </c>
      <c r="N26">
        <f>F20/D26</f>
        <v>20.652173913043477</v>
      </c>
      <c r="O26">
        <f>F20/(D26*G26)</f>
        <v>53.985507246376805</v>
      </c>
      <c r="P26">
        <f t="shared" si="3"/>
        <v>54</v>
      </c>
      <c r="Q26">
        <f t="shared" si="4"/>
        <v>128.05431848089339</v>
      </c>
    </row>
    <row r="28" spans="1:17" x14ac:dyDescent="0.2">
      <c r="A28" t="s">
        <v>40</v>
      </c>
      <c r="B28" t="s">
        <v>43</v>
      </c>
    </row>
    <row r="29" spans="1:17" x14ac:dyDescent="0.2">
      <c r="A29">
        <f>P24+2*P25+3*P26</f>
        <v>437</v>
      </c>
      <c r="B29">
        <f>Q24+2^2*Q25+3^2*Q26</f>
        <v>4179.7786749686329</v>
      </c>
    </row>
    <row r="31" spans="1:17" x14ac:dyDescent="0.2">
      <c r="A31" t="s">
        <v>45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2022-02-27T10:41:23Z</dcterms:created>
  <dcterms:modified xsi:type="dcterms:W3CDTF">2026-02-13T18:13:47Z</dcterms:modified>
</cp:coreProperties>
</file>