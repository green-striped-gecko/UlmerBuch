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8_{324FDAA0-3CE6-014E-ADD0-3B8BFBA86073}" xr6:coauthVersionLast="47" xr6:coauthVersionMax="47" xr10:uidLastSave="{00000000-0000-0000-0000-000000000000}"/>
  <bookViews>
    <workbookView xWindow="560" yWindow="500" windowWidth="28240" windowHeight="16140" xr2:uid="{2D4486B3-B4EF-8144-AFA5-16F2FBBA99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I19" i="1" l="1"/>
  <c r="I20" i="1" s="1"/>
  <c r="F20" i="1" s="1"/>
  <c r="F19" i="1" l="1"/>
  <c r="J19" i="1" s="1"/>
  <c r="K19" i="1" s="1"/>
</calcChain>
</file>

<file path=xl/sharedStrings.xml><?xml version="1.0" encoding="utf-8"?>
<sst xmlns="http://schemas.openxmlformats.org/spreadsheetml/2006/main" count="37" uniqueCount="29">
  <si>
    <t>i</t>
  </si>
  <si>
    <t>ni</t>
  </si>
  <si>
    <t>xi</t>
  </si>
  <si>
    <t>yi</t>
  </si>
  <si>
    <t>Rx</t>
  </si>
  <si>
    <t>Ry</t>
  </si>
  <si>
    <t>Ni</t>
  </si>
  <si>
    <t>Pi</t>
  </si>
  <si>
    <t>Var(Pi)</t>
  </si>
  <si>
    <t>se</t>
  </si>
  <si>
    <t>Var(Ni)</t>
  </si>
  <si>
    <t>Laufparameter, der indiziert, welche Daten zum Zeitpunkt vor bzw. nach der selektiven Entfernung gelten</t>
  </si>
  <si>
    <t>Anzahl der Stichprobengröße zum Zeitpunkt i</t>
  </si>
  <si>
    <r>
      <t xml:space="preserve">Anteil der Tiere in Klasse 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in der Population zum Zeitpunkt </t>
    </r>
    <r>
      <rPr>
        <i/>
        <sz val="11"/>
        <color theme="1"/>
        <rFont val="Calibri"/>
        <family val="2"/>
        <scheme val="minor"/>
      </rPr>
      <t>i</t>
    </r>
  </si>
  <si>
    <t>Anzahl der zwischen den beiden Fangperioden entfernten Individuen der Klasse y</t>
  </si>
  <si>
    <t>Populationsgröße zum Zeitpunkt i</t>
  </si>
  <si>
    <t>Parameterdefinitionen</t>
  </si>
  <si>
    <r>
      <t xml:space="preserve">Anzahl der Tiere in Klasse x in der Stichprobe zum Zeitpunkt </t>
    </r>
    <r>
      <rPr>
        <i/>
        <sz val="11"/>
        <color theme="1"/>
        <rFont val="Calibri"/>
        <family val="2"/>
        <scheme val="minor"/>
      </rPr>
      <t>i</t>
    </r>
  </si>
  <si>
    <r>
      <t xml:space="preserve">Anzahl der Tiere in Klasse </t>
    </r>
    <r>
      <rPr>
        <i/>
        <sz val="11"/>
        <color theme="1"/>
        <rFont val="Calibri"/>
        <family val="2"/>
        <scheme val="minor"/>
      </rPr>
      <t>xy</t>
    </r>
    <r>
      <rPr>
        <sz val="11"/>
        <color theme="1"/>
        <rFont val="Calibri"/>
        <family val="2"/>
        <scheme val="minor"/>
      </rPr>
      <t xml:space="preserve">in der Stichprobe zum Zeitpunkt </t>
    </r>
    <r>
      <rPr>
        <i/>
        <sz val="11"/>
        <color theme="1"/>
        <rFont val="Calibri"/>
        <family val="2"/>
        <scheme val="minor"/>
      </rPr>
      <t>i</t>
    </r>
  </si>
  <si>
    <t>Anzahl der zwischen den beiden Fangperioden entfernten Individuen der Klasse x</t>
  </si>
  <si>
    <t>Schätzung der Populationsgröße</t>
  </si>
  <si>
    <t>Beispiel 6.6: Schätzung der Populationsgröße des Maultierhirsches anhand selektiver Verluste</t>
  </si>
  <si>
    <t>Xi</t>
  </si>
  <si>
    <r>
      <t xml:space="preserve">Anzahl der Tiere in Klasse </t>
    </r>
    <r>
      <rPr>
        <i/>
        <sz val="12"/>
        <color theme="1"/>
        <rFont val="Times New Roman"/>
        <family val="1"/>
      </rPr>
      <t>x</t>
    </r>
    <r>
      <rPr>
        <sz val="12"/>
        <color theme="1"/>
        <rFont val="Times New Roman"/>
        <family val="1"/>
      </rPr>
      <t xml:space="preserve"> zum Zeitpunkt </t>
    </r>
    <r>
      <rPr>
        <i/>
        <sz val="12"/>
        <color theme="1"/>
        <rFont val="Times New Roman"/>
        <family val="1"/>
      </rPr>
      <t>i</t>
    </r>
  </si>
  <si>
    <t>Yi</t>
  </si>
  <si>
    <r>
      <t xml:space="preserve">Anzahl der Tiere in Klasse y zum Zeitpunkt </t>
    </r>
    <r>
      <rPr>
        <i/>
        <sz val="12"/>
        <color theme="1"/>
        <rFont val="Times New Roman"/>
        <family val="1"/>
      </rPr>
      <t>i</t>
    </r>
  </si>
  <si>
    <t>R</t>
  </si>
  <si>
    <t>Summe der entfernten Individuen</t>
  </si>
  <si>
    <t>Rasmussen, D.I., Doman, E.R. (1943): Census methods and their application in the management of mule deer. – Transactions of the North American Wildlife and Natural Resources Conference 8: 369–379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</si>
</sst>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9DFE-B56A-D941-8F8D-0365B2C41CF6}">
  <dimension ref="A1:K20"/>
  <sheetViews>
    <sheetView tabSelected="1" workbookViewId="0">
      <selection activeCell="A3" sqref="A3"/>
    </sheetView>
  </sheetViews>
  <sheetFormatPr baseColWidth="10" defaultRowHeight="16" x14ac:dyDescent="0.2"/>
  <sheetData>
    <row r="1" spans="1:2" x14ac:dyDescent="0.2">
      <c r="A1" s="1" t="s">
        <v>21</v>
      </c>
    </row>
    <row r="2" spans="1:2" x14ac:dyDescent="0.2">
      <c r="A2" s="3" t="s">
        <v>28</v>
      </c>
    </row>
    <row r="3" spans="1:2" x14ac:dyDescent="0.2">
      <c r="A3" s="1"/>
    </row>
    <row r="4" spans="1:2" x14ac:dyDescent="0.2">
      <c r="A4" s="1" t="s">
        <v>16</v>
      </c>
    </row>
    <row r="5" spans="1:2" x14ac:dyDescent="0.2">
      <c r="A5" t="s">
        <v>0</v>
      </c>
      <c r="B5" t="s">
        <v>11</v>
      </c>
    </row>
    <row r="6" spans="1:2" x14ac:dyDescent="0.2">
      <c r="A6" t="s">
        <v>1</v>
      </c>
      <c r="B6" t="s">
        <v>12</v>
      </c>
    </row>
    <row r="7" spans="1:2" x14ac:dyDescent="0.2">
      <c r="A7" t="s">
        <v>2</v>
      </c>
      <c r="B7" s="2" t="s">
        <v>17</v>
      </c>
    </row>
    <row r="8" spans="1:2" x14ac:dyDescent="0.2">
      <c r="A8" t="s">
        <v>22</v>
      </c>
      <c r="B8" s="3" t="s">
        <v>23</v>
      </c>
    </row>
    <row r="9" spans="1:2" x14ac:dyDescent="0.2">
      <c r="A9" t="s">
        <v>3</v>
      </c>
      <c r="B9" s="2" t="s">
        <v>18</v>
      </c>
    </row>
    <row r="10" spans="1:2" x14ac:dyDescent="0.2">
      <c r="A10" t="s">
        <v>24</v>
      </c>
      <c r="B10" s="3" t="s">
        <v>25</v>
      </c>
    </row>
    <row r="11" spans="1:2" x14ac:dyDescent="0.2">
      <c r="A11" t="s">
        <v>7</v>
      </c>
      <c r="B11" s="2" t="s">
        <v>13</v>
      </c>
    </row>
    <row r="12" spans="1:2" x14ac:dyDescent="0.2">
      <c r="A12" t="s">
        <v>4</v>
      </c>
      <c r="B12" s="2" t="s">
        <v>19</v>
      </c>
    </row>
    <row r="13" spans="1:2" x14ac:dyDescent="0.2">
      <c r="A13" t="s">
        <v>5</v>
      </c>
      <c r="B13" s="2" t="s">
        <v>14</v>
      </c>
    </row>
    <row r="14" spans="1:2" x14ac:dyDescent="0.2">
      <c r="A14" t="s">
        <v>26</v>
      </c>
      <c r="B14" s="2" t="s">
        <v>27</v>
      </c>
    </row>
    <row r="15" spans="1:2" x14ac:dyDescent="0.2">
      <c r="A15" t="s">
        <v>6</v>
      </c>
      <c r="B15" s="2" t="s">
        <v>15</v>
      </c>
    </row>
    <row r="16" spans="1:2" x14ac:dyDescent="0.2">
      <c r="B16" s="2"/>
    </row>
    <row r="17" spans="1:11" x14ac:dyDescent="0.2">
      <c r="A17" s="1" t="s">
        <v>20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7</v>
      </c>
      <c r="F18" t="s">
        <v>8</v>
      </c>
      <c r="G18" t="s">
        <v>4</v>
      </c>
      <c r="H18" t="s">
        <v>5</v>
      </c>
      <c r="I18" t="s">
        <v>6</v>
      </c>
      <c r="J18" t="s">
        <v>10</v>
      </c>
      <c r="K18" t="s">
        <v>9</v>
      </c>
    </row>
    <row r="19" spans="1:11" x14ac:dyDescent="0.2">
      <c r="A19">
        <v>1</v>
      </c>
      <c r="B19">
        <v>183</v>
      </c>
      <c r="C19">
        <v>83</v>
      </c>
      <c r="D19">
        <v>100</v>
      </c>
      <c r="E19">
        <f>C19/B19</f>
        <v>0.45355191256830601</v>
      </c>
      <c r="F19">
        <f>E19*(1-E19)/(B19-1)*(1-B19/I19)</f>
        <v>1.1728122997983958E-3</v>
      </c>
      <c r="G19">
        <v>248</v>
      </c>
      <c r="H19">
        <v>60</v>
      </c>
      <c r="I19">
        <f>(G19-(G19+H19)*E20)/(E19-E20)</f>
        <v>1318.8200000000002</v>
      </c>
      <c r="J19">
        <f>(I19^2*F19+I20^2*F20)/(E19-E20)^2</f>
        <v>290183.89227938867</v>
      </c>
      <c r="K19">
        <f>J19^0.5</f>
        <v>538.687193350082</v>
      </c>
    </row>
    <row r="20" spans="1:11" x14ac:dyDescent="0.2">
      <c r="A20">
        <v>2</v>
      </c>
      <c r="B20">
        <v>153</v>
      </c>
      <c r="C20">
        <v>53</v>
      </c>
      <c r="D20">
        <v>100</v>
      </c>
      <c r="E20">
        <f>C20/B20</f>
        <v>0.34640522875816993</v>
      </c>
      <c r="F20">
        <f>E20*(1-E20)/(B20-1)*(1-B20/I20)</f>
        <v>1.2640718538814452E-3</v>
      </c>
      <c r="I20">
        <f>I19-(G19+H19)</f>
        <v>1010.8200000000002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2025-05-04T10:36:50Z</dcterms:created>
  <dcterms:modified xsi:type="dcterms:W3CDTF">2025-10-21T15:38:12Z</dcterms:modified>
</cp:coreProperties>
</file>