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ate1904="1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ExcelOnline-Tabellen/"/>
    </mc:Choice>
  </mc:AlternateContent>
  <xr:revisionPtr revIDLastSave="0" documentId="13_ncr:1_{156906CD-D227-D645-BFDE-B8E793BEBFDE}" xr6:coauthVersionLast="47" xr6:coauthVersionMax="47" xr10:uidLastSave="{00000000-0000-0000-0000-000000000000}"/>
  <bookViews>
    <workbookView xWindow="320" yWindow="500" windowWidth="28480" windowHeight="15820" tabRatio="500" xr2:uid="{94D36C52-5B37-E847-93A5-67FFF56F9C69}"/>
  </bookViews>
  <sheets>
    <sheet name="Löffelente-Diadat" sheetId="1" r:id="rId1"/>
    <sheet name="Regressionsanaly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1" l="1"/>
  <c r="C64" i="1"/>
  <c r="A18" i="2" l="1"/>
  <c r="B92" i="1"/>
  <c r="E31" i="1"/>
  <c r="B47" i="1"/>
  <c r="C94" i="1" l="1"/>
  <c r="B42" i="1" l="1"/>
  <c r="E41" i="1"/>
  <c r="E40" i="1"/>
  <c r="E39" i="1"/>
  <c r="E38" i="1"/>
  <c r="E37" i="1"/>
  <c r="E36" i="1"/>
  <c r="E35" i="1"/>
  <c r="E34" i="1"/>
  <c r="E33" i="1"/>
  <c r="E32" i="1"/>
  <c r="C31" i="1"/>
  <c r="C32" i="1" s="1"/>
  <c r="D32" i="1" s="1"/>
  <c r="D30" i="1"/>
  <c r="C33" i="1" l="1"/>
  <c r="C34" i="1" s="1"/>
  <c r="C35" i="1" s="1"/>
  <c r="C36" i="1" s="1"/>
  <c r="D31" i="1"/>
  <c r="D35" i="1" l="1"/>
  <c r="D33" i="1"/>
  <c r="D34" i="1"/>
  <c r="D36" i="1"/>
  <c r="C37" i="1"/>
  <c r="C38" i="1" l="1"/>
  <c r="D37" i="1"/>
  <c r="D38" i="1" l="1"/>
  <c r="C39" i="1"/>
  <c r="D39" i="1" l="1"/>
  <c r="C40" i="1"/>
  <c r="D40" i="1" l="1"/>
  <c r="C41" i="1"/>
  <c r="D41" i="1" l="1"/>
  <c r="D42" i="1" s="1"/>
  <c r="B48" i="1" s="1"/>
  <c r="B50" i="1" s="1"/>
  <c r="C42" i="1"/>
  <c r="F35" i="1" l="1"/>
  <c r="F31" i="1"/>
  <c r="B51" i="1"/>
  <c r="F32" i="1"/>
  <c r="F33" i="1"/>
  <c r="F34" i="1"/>
  <c r="F36" i="1"/>
  <c r="F37" i="1"/>
  <c r="F38" i="1"/>
  <c r="F39" i="1"/>
  <c r="F40" i="1"/>
  <c r="F41" i="1"/>
  <c r="B52" i="1" l="1"/>
  <c r="B53" i="1" s="1"/>
  <c r="G37" i="1"/>
  <c r="H37" i="1" s="1"/>
  <c r="I37" i="1" s="1"/>
  <c r="G38" i="1"/>
  <c r="H38" i="1" s="1"/>
  <c r="I38" i="1" s="1"/>
  <c r="G36" i="1"/>
  <c r="H36" i="1" s="1"/>
  <c r="I36" i="1" s="1"/>
  <c r="G33" i="1"/>
  <c r="H33" i="1" s="1"/>
  <c r="I33" i="1" s="1"/>
  <c r="G41" i="1"/>
  <c r="H41" i="1" s="1"/>
  <c r="G31" i="1"/>
  <c r="H31" i="1" s="1"/>
  <c r="I31" i="1" s="1"/>
  <c r="G40" i="1"/>
  <c r="H40" i="1" s="1"/>
  <c r="G34" i="1"/>
  <c r="H34" i="1" s="1"/>
  <c r="I34" i="1" s="1"/>
  <c r="G35" i="1"/>
  <c r="H35" i="1" s="1"/>
  <c r="I35" i="1" s="1"/>
  <c r="G32" i="1"/>
  <c r="H32" i="1" s="1"/>
  <c r="I32" i="1" s="1"/>
  <c r="G39" i="1"/>
  <c r="H39" i="1" s="1"/>
  <c r="H42" i="1" l="1"/>
  <c r="I40" i="1"/>
  <c r="I42" i="1" l="1"/>
  <c r="C92" i="1"/>
  <c r="B18" i="2"/>
  <c r="E74" i="1"/>
  <c r="J74" i="1" s="1"/>
  <c r="E73" i="1"/>
  <c r="E72" i="1"/>
  <c r="E71" i="1"/>
  <c r="E70" i="1"/>
  <c r="E69" i="1"/>
  <c r="J69" i="1" s="1"/>
  <c r="E68" i="1"/>
  <c r="J68" i="1" s="1"/>
  <c r="E67" i="1"/>
  <c r="J67" i="1" s="1"/>
  <c r="E66" i="1"/>
  <c r="J66" i="1" s="1"/>
  <c r="E65" i="1"/>
  <c r="J65" i="1" s="1"/>
  <c r="E64" i="1"/>
  <c r="J64" i="1" s="1"/>
  <c r="I64" i="1"/>
  <c r="D63" i="1"/>
  <c r="B75" i="1"/>
  <c r="J71" i="1" l="1"/>
  <c r="J72" i="1"/>
  <c r="J73" i="1"/>
  <c r="J70" i="1"/>
  <c r="C65" i="1"/>
  <c r="I65" i="1" s="1"/>
  <c r="D64" i="1"/>
  <c r="C66" i="1" l="1"/>
  <c r="I66" i="1" s="1"/>
  <c r="D65" i="1"/>
  <c r="C67" i="1"/>
  <c r="I67" i="1" s="1"/>
  <c r="D66" i="1" l="1"/>
  <c r="D67" i="1"/>
  <c r="C68" i="1"/>
  <c r="I68" i="1" s="1"/>
  <c r="C69" i="1" l="1"/>
  <c r="I69" i="1" s="1"/>
  <c r="D68" i="1"/>
  <c r="C70" i="1"/>
  <c r="I70" i="1" s="1"/>
  <c r="D69" i="1"/>
  <c r="C71" i="1" l="1"/>
  <c r="I71" i="1" s="1"/>
  <c r="D70" i="1"/>
  <c r="D71" i="1" l="1"/>
  <c r="C72" i="1"/>
  <c r="I72" i="1" s="1"/>
  <c r="C73" i="1" l="1"/>
  <c r="I73" i="1" s="1"/>
  <c r="D72" i="1"/>
  <c r="D73" i="1" l="1"/>
  <c r="C74" i="1"/>
  <c r="I74" i="1" s="1"/>
  <c r="D74" i="1"/>
  <c r="D75" i="1" s="1"/>
  <c r="B93" i="1" s="1"/>
  <c r="C75" i="1"/>
  <c r="C89" i="1" s="1"/>
  <c r="L70" i="1" l="1"/>
  <c r="L69" i="1"/>
  <c r="L68" i="1"/>
  <c r="L74" i="1"/>
  <c r="L66" i="1"/>
  <c r="L73" i="1"/>
  <c r="L72" i="1"/>
  <c r="L64" i="1"/>
  <c r="L71" i="1"/>
  <c r="L67" i="1"/>
  <c r="L65" i="1"/>
  <c r="C96" i="1"/>
  <c r="C93" i="1"/>
  <c r="B96" i="1"/>
  <c r="F64" i="1"/>
  <c r="F65" i="1"/>
  <c r="F66" i="1"/>
  <c r="F69" i="1"/>
  <c r="F67" i="1"/>
  <c r="F68" i="1"/>
  <c r="F70" i="1"/>
  <c r="F71" i="1"/>
  <c r="F72" i="1"/>
  <c r="F73" i="1"/>
  <c r="F74" i="1"/>
  <c r="M73" i="1" l="1"/>
  <c r="N73" i="1" s="1"/>
  <c r="M64" i="1"/>
  <c r="M72" i="1"/>
  <c r="N72" i="1" s="1"/>
  <c r="M74" i="1"/>
  <c r="N74" i="1" s="1"/>
  <c r="M65" i="1"/>
  <c r="M69" i="1"/>
  <c r="N69" i="1" s="1"/>
  <c r="M68" i="1"/>
  <c r="N68" i="1" s="1"/>
  <c r="M67" i="1"/>
  <c r="N67" i="1" s="1"/>
  <c r="M70" i="1"/>
  <c r="N70" i="1" s="1"/>
  <c r="M66" i="1"/>
  <c r="M71" i="1"/>
  <c r="N71" i="1" s="1"/>
  <c r="B97" i="1"/>
  <c r="B98" i="1" s="1"/>
  <c r="G70" i="1"/>
  <c r="H70" i="1" s="1"/>
  <c r="K70" i="1" s="1"/>
  <c r="G64" i="1"/>
  <c r="H64" i="1" s="1"/>
  <c r="K64" i="1" s="1"/>
  <c r="G73" i="1"/>
  <c r="H73" i="1" s="1"/>
  <c r="K73" i="1" s="1"/>
  <c r="G67" i="1"/>
  <c r="H67" i="1" s="1"/>
  <c r="K67" i="1" s="1"/>
  <c r="G69" i="1"/>
  <c r="H69" i="1" s="1"/>
  <c r="K69" i="1" s="1"/>
  <c r="G72" i="1"/>
  <c r="H72" i="1" s="1"/>
  <c r="K72" i="1" s="1"/>
  <c r="G66" i="1"/>
  <c r="H66" i="1" s="1"/>
  <c r="K66" i="1" s="1"/>
  <c r="G74" i="1"/>
  <c r="H74" i="1" s="1"/>
  <c r="K74" i="1" s="1"/>
  <c r="G68" i="1"/>
  <c r="H68" i="1" s="1"/>
  <c r="K68" i="1" s="1"/>
  <c r="G71" i="1"/>
  <c r="H71" i="1" s="1"/>
  <c r="K71" i="1" s="1"/>
  <c r="G65" i="1"/>
  <c r="H65" i="1" s="1"/>
  <c r="K65" i="1" s="1"/>
  <c r="N64" i="1" l="1"/>
  <c r="K75" i="1"/>
  <c r="N65" i="1"/>
  <c r="N66" i="1"/>
  <c r="C97" i="1"/>
  <c r="H75" i="1" l="1"/>
  <c r="C98" i="1"/>
</calcChain>
</file>

<file path=xl/sharedStrings.xml><?xml version="1.0" encoding="utf-8"?>
<sst xmlns="http://schemas.openxmlformats.org/spreadsheetml/2006/main" count="113" uniqueCount="83">
  <si>
    <t>Summen</t>
  </si>
  <si>
    <t>Lambda</t>
  </si>
  <si>
    <t>Fläche</t>
  </si>
  <si>
    <t>W</t>
  </si>
  <si>
    <t>k</t>
  </si>
  <si>
    <t>Dichte/cm2</t>
  </si>
  <si>
    <t>Dichte/m2</t>
  </si>
  <si>
    <t>Dichte/km2</t>
  </si>
  <si>
    <t>ln x</t>
  </si>
  <si>
    <t>ln (g(x)</t>
  </si>
  <si>
    <t>ln(W)</t>
  </si>
  <si>
    <t>Chi-Quadrat-Test</t>
  </si>
  <si>
    <t>Alpha</t>
  </si>
  <si>
    <t>Datenquelle</t>
  </si>
  <si>
    <t>Buckland, S.T., Anderson, D.R., Burnham, P., Laake, J.L. (1993): Distance Sampling: Estimating Abundance of Biological Populations. – Chapman &amp; Hall, London</t>
  </si>
  <si>
    <t>Definitionen</t>
  </si>
  <si>
    <t>i</t>
  </si>
  <si>
    <t>Entfernungsintervall</t>
  </si>
  <si>
    <t>ni</t>
  </si>
  <si>
    <t>Anzahl beobachteter Nester</t>
  </si>
  <si>
    <t>E(ni)</t>
  </si>
  <si>
    <t>Erwartungswert für die Anzahl beobachteter Nester im Intervall i</t>
  </si>
  <si>
    <t>Empirische Beobachtungswahrscheinlichkeit für Nester in Abhängigkeit der Entfernung, mit Beobachtungswahrscheinlichkeit = 1 im Entfernungsintervall 1</t>
  </si>
  <si>
    <t>ga(x)</t>
  </si>
  <si>
    <t>Parameter für die Kurvenform der Abnahme der Beobachtungswahrscheinlichkeit für eine Potenzfunktion</t>
  </si>
  <si>
    <t>xi</t>
  </si>
  <si>
    <t>Entfernung der Mitte des Entfernungsintervalls von der Transektlinie i</t>
  </si>
  <si>
    <t>x-quer</t>
  </si>
  <si>
    <t>Mittlere Entfernung  der Nester von der Transektlinie</t>
  </si>
  <si>
    <t>Wir berechnen hier zuerst die Dichte der Löffelentennester mit der Methode von Seber (1982), bei der wir den maximalen Abstand, in dem Nester beobachtet werden können,</t>
  </si>
  <si>
    <t>mit dem Abstand der a-priori festgelegten Distanz gleichsetzen, bis zu der Nester berücksichtigt wurden (366 cm).</t>
  </si>
  <si>
    <t>Tab. 6.5a, Beispiel 6.5: Erfassung der Löffelentennestdichte mit Linien-Distanz Methoden und 30,5cm Intervallbreite</t>
  </si>
  <si>
    <t>ni*x</t>
  </si>
  <si>
    <t>E(ni) gerundet</t>
  </si>
  <si>
    <t>Teilwerte</t>
  </si>
  <si>
    <t>Aufgrund der kleinen Erwartungswerte wurden die letzten 3 Entfernungsintervalle zusammengefasst</t>
  </si>
  <si>
    <t>Emp g(xi)</t>
  </si>
  <si>
    <t>Emp g(x)</t>
  </si>
  <si>
    <t>Power-Funktion</t>
  </si>
  <si>
    <t>Exponentielle Kurve</t>
  </si>
  <si>
    <t>ln(x)</t>
  </si>
  <si>
    <t>Chi-Quadrat</t>
  </si>
  <si>
    <t>E(ni)-exponentiell</t>
  </si>
  <si>
    <t>E(ni)-gerundet</t>
  </si>
  <si>
    <t>Da auf beiden Seiten der Transektlinie Beobachtungen gemacht wurden, muss die Breite der Entfernungsintervalle verdoppelt werden</t>
  </si>
  <si>
    <t>Maximale Entfernung, in der Nester erfasst wurden (Seber-Methode) oder erfasst werden können (Caughley Methode)</t>
  </si>
  <si>
    <t>Beobachtungswahrscheinlichkeit berechnet mit einer Anpassungskurve an das Histogramm</t>
  </si>
  <si>
    <t>Literatur</t>
  </si>
  <si>
    <t>Caughley, G. (1980): Analysis of Vertebrate Populations. – John Wiley, Chichester, New York &amp; Brisbane</t>
  </si>
  <si>
    <r>
      <t>Seber, G.A.F. (1982): The Estimation of Animal Abundance and Related Parameters, 2</t>
    </r>
    <r>
      <rPr>
        <vertAlign val="superscript"/>
        <sz val="12"/>
        <rFont val="Times New Roman"/>
        <family val="1"/>
      </rPr>
      <t>nd</t>
    </r>
    <r>
      <rPr>
        <sz val="12"/>
        <rFont val="Times New Roman"/>
        <family val="1"/>
      </rPr>
      <t xml:space="preserve"> ed. – Griffin, London</t>
    </r>
  </si>
  <si>
    <t xml:space="preserve">Anschließend führen wir die gleiche Berechnung mit der von Caughley (1980) empfohlenen Methode zur Bestimmung des Kurvenparameters k und der maximalen Distanz, in der Nester entdeckt werden können, durch. </t>
  </si>
  <si>
    <t xml:space="preserve">Bei beiden Berechnungen verwenden wir als Anpassungskurve an das Histogramm die Power-Funktion von Eberhardt (1968). </t>
  </si>
  <si>
    <t>Bei der Methode von Caughley (1980) prüfen wir zusätzlich, ob die exponentielle Abnahme der Beobachtungswahrscheinlichkeit besser zu den Daten passt als die Verwendung einer Power-Funktion.</t>
  </si>
  <si>
    <t>Transektlänge (cm)</t>
  </si>
  <si>
    <t>Intervallbreite (cm)</t>
  </si>
  <si>
    <t>mean x (cm)</t>
  </si>
  <si>
    <t>W (cm)</t>
  </si>
  <si>
    <t>Fläche (cm2)</t>
  </si>
  <si>
    <t>Analyse mit der Methode von Caughley (1980)</t>
  </si>
  <si>
    <t>Analyse mit der Methode von Seber (1982)</t>
  </si>
  <si>
    <t>ln(1-g(x))</t>
  </si>
  <si>
    <t>Werte der Diagrammachsen</t>
  </si>
  <si>
    <t xml:space="preserve"> </t>
  </si>
  <si>
    <t>Powerfunktion</t>
  </si>
  <si>
    <t>Exponetialfunktion</t>
  </si>
  <si>
    <t>Die exponentielle Abnahme der Beobachtungswahrscheinlichkeit mit der Entfernung passt dagegen schlecht zu den Daten.</t>
  </si>
  <si>
    <t>Aufgrund der geringen Entfernung im ersten Distanzintervall von 30,5 cm ist diese Annahme auch sehr wahrscheinlich eingehalten.</t>
  </si>
  <si>
    <t>Gleichzeitig testen wir die Passfähigkeit einer Exponentialkurve.</t>
  </si>
  <si>
    <t>Als nächste führen wir die gleiche Analyse durch, berechnen jedoch den Kurvenparameter k und die maximale Distanz, in der Nester beobachtet werden können, nach der Methode von Caughley (1980).</t>
  </si>
  <si>
    <t>k und W werden aus den Parametern der Regressionsgleichung ermittelt - siehe Blatt Regressionsanalyse</t>
  </si>
  <si>
    <t>W = Exp(0,3295/2,086)</t>
  </si>
  <si>
    <t>Aufgrund der kleinen Erwartungswerte</t>
  </si>
  <si>
    <t>wurden die rot gefärbten Entfernungsintervalle zusammengefasst</t>
  </si>
  <si>
    <t>Entsprechend wird das erste Entfernungsintervall auch bei der Berechnung der Passfähigkeit der Kurve nicht berücksichtigt.</t>
  </si>
  <si>
    <t>0,3 &lt; alpha &lt; 0,5</t>
  </si>
  <si>
    <t>7 Freiheitsgrade</t>
  </si>
  <si>
    <t xml:space="preserve">Wie wir an der Grafik sehen, wird die Anpassung der Kurve zwar nicht abgelehnt, ist aber nicht gut </t>
  </si>
  <si>
    <t>Ein Test ist jedoch wegen zu wenigen Werten nicht möglich</t>
  </si>
  <si>
    <t>Alpha &gt;0,8; 8 Freiheitsgrade</t>
  </si>
  <si>
    <t>Die Verwendung der Power-Funkion zur Anpassung der Kurve der Beobachtungswahrscheinlichkeit wird für keinen Fall abgelehnt. Die Anpassung ist jedoch nur für die Methode von Caughley (1980) sehr gut.</t>
  </si>
  <si>
    <t>Für diese liegt die geschätzte Dichte jedoch weit höher als man erhalten würde, wenn die Annahme einer Beobachtungswahrscheinlichkeit von 1 im ersten Entfernungsintervall stimmt und man nur diese Daten als Totalerfassung nimmt (6,7 Nester / km^2).</t>
  </si>
  <si>
    <t>Die Anpassungen der Kurven an die Histogramme berücksichtigen das an die Transektlinie angrenzende Entfernungsintervall nicht, da für Linien-Distanz-Methoden angenommen wird, dass die Beobachtungswahrscheinlichkeit in ihm 1 beträgt.</t>
  </si>
  <si>
    <t>Bei der Methode von Seber (1982) ist die geschätzte Dichte dagegen sehr ähnlich zu der Totalerfassung des ersten Entfernundsintervalls.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</si>
</sst>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Geneva"/>
    </font>
    <font>
      <sz val="10"/>
      <name val="Geneva"/>
      <family val="2"/>
    </font>
    <font>
      <sz val="11"/>
      <name val="Arial"/>
      <family val="2"/>
    </font>
    <font>
      <sz val="10"/>
      <name val="Geneva"/>
      <family val="2"/>
    </font>
    <font>
      <b/>
      <sz val="10"/>
      <name val="Geneva"/>
      <family val="2"/>
    </font>
    <font>
      <sz val="12"/>
      <name val="Times New Roman"/>
      <family val="1"/>
    </font>
    <font>
      <sz val="11"/>
      <color rgb="FFFF0000"/>
      <name val="Arial"/>
      <family val="2"/>
    </font>
    <font>
      <sz val="10"/>
      <color rgb="FFFF0000"/>
      <name val="Geneva"/>
      <family val="2"/>
    </font>
    <font>
      <sz val="10"/>
      <name val="Symbol"/>
      <charset val="2"/>
    </font>
    <font>
      <sz val="10"/>
      <color rgb="FFFF0000"/>
      <name val="Geneva"/>
      <family val="2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/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" fontId="0" fillId="0" borderId="0" xfId="0" applyNumberFormat="1"/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606496062992125"/>
                  <c:y val="7.493037328667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Geneva" panose="020B0503030404040204" pitchFamily="34" charset="0"/>
                      <a:ea typeface="Geneva" panose="020B0503030404040204" pitchFamily="34" charset="0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'Löffelente-Diadat'!$I$64:$I$74</c:f>
              <c:numCache>
                <c:formatCode>General</c:formatCode>
                <c:ptCount val="11"/>
                <c:pt idx="0">
                  <c:v>3.8231917917215301</c:v>
                </c:pt>
                <c:pt idx="1">
                  <c:v>4.3340174154875211</c:v>
                </c:pt>
                <c:pt idx="2">
                  <c:v>4.670489652108734</c:v>
                </c:pt>
                <c:pt idx="3">
                  <c:v>4.9218040803896397</c:v>
                </c:pt>
                <c:pt idx="4">
                  <c:v>5.1224747758517912</c:v>
                </c:pt>
                <c:pt idx="5">
                  <c:v>5.2895288605149577</c:v>
                </c:pt>
                <c:pt idx="6">
                  <c:v>5.4326297041556311</c:v>
                </c:pt>
                <c:pt idx="7">
                  <c:v>5.5577928471096367</c:v>
                </c:pt>
                <c:pt idx="8">
                  <c:v>5.6690184822198608</c:v>
                </c:pt>
                <c:pt idx="9">
                  <c:v>5.769101940776844</c:v>
                </c:pt>
                <c:pt idx="10">
                  <c:v>5.8600737189825702</c:v>
                </c:pt>
              </c:numCache>
            </c:numRef>
          </c:xVal>
          <c:yVal>
            <c:numRef>
              <c:f>'Löffelente-Diadat'!$J$64:$J$74</c:f>
              <c:numCache>
                <c:formatCode>General</c:formatCode>
                <c:ptCount val="11"/>
                <c:pt idx="0">
                  <c:v>-0.6061358035703156</c:v>
                </c:pt>
                <c:pt idx="1">
                  <c:v>-1.0116009116784799</c:v>
                </c:pt>
                <c:pt idx="2">
                  <c:v>-0.6061358035703156</c:v>
                </c:pt>
                <c:pt idx="3">
                  <c:v>-0.45198512374305727</c:v>
                </c:pt>
                <c:pt idx="4">
                  <c:v>-0.31845373111853459</c:v>
                </c:pt>
                <c:pt idx="5">
                  <c:v>-0.20067069546215124</c:v>
                </c:pt>
                <c:pt idx="6">
                  <c:v>-0.20067069546215124</c:v>
                </c:pt>
                <c:pt idx="7">
                  <c:v>-0.20067069546215124</c:v>
                </c:pt>
                <c:pt idx="8">
                  <c:v>-0.45198512374305727</c:v>
                </c:pt>
                <c:pt idx="9">
                  <c:v>-0.20067069546215124</c:v>
                </c:pt>
                <c:pt idx="10">
                  <c:v>-9.5310179804324893E-2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8-834E-95D9-309903890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82751"/>
        <c:axId val="341119807"/>
      </c:scatterChart>
      <c:valAx>
        <c:axId val="34108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eneva" panose="020B0503030404040204" pitchFamily="34" charset="0"/>
                    <a:ea typeface="Geneva" panose="020B0503030404040204" pitchFamily="34" charset="0"/>
                    <a:cs typeface="+mn-cs"/>
                  </a:defRPr>
                </a:pPr>
                <a:r>
                  <a:rPr lang="de-DE" sz="1200" b="1">
                    <a:latin typeface="Geneva" panose="020B0503030404040204" pitchFamily="34" charset="0"/>
                    <a:ea typeface="Geneva" panose="020B0503030404040204" pitchFamily="34" charset="0"/>
                  </a:rPr>
                  <a:t>ln(x)</a:t>
                </a:r>
              </a:p>
            </c:rich>
          </c:tx>
          <c:layout>
            <c:manualLayout>
              <c:xMode val="edge"/>
              <c:yMode val="edge"/>
              <c:x val="0.53199056392908606"/>
              <c:y val="0.105100559542999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eneva" panose="020B0503030404040204" pitchFamily="34" charset="0"/>
                  <a:ea typeface="Geneva" panose="020B0503030404040204" pitchFamily="34" charset="0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1119807"/>
        <c:crosses val="autoZero"/>
        <c:crossBetween val="midCat"/>
      </c:valAx>
      <c:valAx>
        <c:axId val="341119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latin typeface="Geneva" panose="020B0503030404040204" pitchFamily="34" charset="0"/>
                    <a:ea typeface="Geneva" panose="020B0503030404040204" pitchFamily="34" charset="0"/>
                  </a:rPr>
                  <a:t>ln(1-g(x)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108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634609543097766"/>
          <c:y val="2.7053441236512103E-2"/>
          <c:w val="0.86804657059891799"/>
          <c:h val="0.748959707479171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'Löffelente-Diadat'!$E$29</c:f>
              <c:strCache>
                <c:ptCount val="1"/>
                <c:pt idx="0">
                  <c:v>Emp g(xi)</c:v>
                </c:pt>
              </c:strCache>
            </c:strRef>
          </c:tx>
          <c:spPr>
            <a:solidFill>
              <a:srgbClr val="1FB714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'Löffelente-Diadat'!$C$30:$C$41</c:f>
              <c:numCache>
                <c:formatCode>General</c:formatCode>
                <c:ptCount val="12"/>
                <c:pt idx="0">
                  <c:v>15.25</c:v>
                </c:pt>
                <c:pt idx="1">
                  <c:v>45.75</c:v>
                </c:pt>
                <c:pt idx="2">
                  <c:v>76.25</c:v>
                </c:pt>
                <c:pt idx="3">
                  <c:v>106.75</c:v>
                </c:pt>
                <c:pt idx="4">
                  <c:v>137.25</c:v>
                </c:pt>
                <c:pt idx="5">
                  <c:v>167.75</c:v>
                </c:pt>
                <c:pt idx="6">
                  <c:v>198.25</c:v>
                </c:pt>
                <c:pt idx="7">
                  <c:v>228.75</c:v>
                </c:pt>
                <c:pt idx="8">
                  <c:v>259.25</c:v>
                </c:pt>
                <c:pt idx="9">
                  <c:v>289.75</c:v>
                </c:pt>
                <c:pt idx="10">
                  <c:v>320.25</c:v>
                </c:pt>
                <c:pt idx="11">
                  <c:v>350.75</c:v>
                </c:pt>
              </c:numCache>
            </c:numRef>
          </c:cat>
          <c:val>
            <c:numRef>
              <c:f>'Löffelente-Diadat'!$E$30:$E$41</c:f>
              <c:numCache>
                <c:formatCode>0.00</c:formatCode>
                <c:ptCount val="12"/>
                <c:pt idx="0">
                  <c:v>1</c:v>
                </c:pt>
                <c:pt idx="1">
                  <c:v>0.45454545454545453</c:v>
                </c:pt>
                <c:pt idx="2">
                  <c:v>0.63636363636363635</c:v>
                </c:pt>
                <c:pt idx="3">
                  <c:v>0.45454545454545453</c:v>
                </c:pt>
                <c:pt idx="4">
                  <c:v>0.36363636363636365</c:v>
                </c:pt>
                <c:pt idx="5">
                  <c:v>0.27272727272727271</c:v>
                </c:pt>
                <c:pt idx="6">
                  <c:v>0.18181818181818182</c:v>
                </c:pt>
                <c:pt idx="7">
                  <c:v>0.18181818181818182</c:v>
                </c:pt>
                <c:pt idx="8">
                  <c:v>0.18181818181818182</c:v>
                </c:pt>
                <c:pt idx="9">
                  <c:v>0.36363636363636365</c:v>
                </c:pt>
                <c:pt idx="10">
                  <c:v>0.18181818181818182</c:v>
                </c:pt>
                <c:pt idx="11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9-4927-976D-1ED0CCAB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"/>
        <c:axId val="359234408"/>
        <c:axId val="1"/>
      </c:barChart>
      <c:lineChart>
        <c:grouping val="standard"/>
        <c:varyColors val="0"/>
        <c:ser>
          <c:idx val="0"/>
          <c:order val="1"/>
          <c:tx>
            <c:strRef>
              <c:f>'Löffelente-Diadat'!$F$29</c:f>
              <c:strCache>
                <c:ptCount val="1"/>
                <c:pt idx="0">
                  <c:v>ga(x)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'Löffelente-Diadat'!$F$30:$F$41</c:f>
              <c:numCache>
                <c:formatCode>0.00</c:formatCode>
                <c:ptCount val="12"/>
                <c:pt idx="0">
                  <c:v>1</c:v>
                </c:pt>
                <c:pt idx="1">
                  <c:v>0.91753075557669406</c:v>
                </c:pt>
                <c:pt idx="2">
                  <c:v>0.84776640087271615</c:v>
                </c:pt>
                <c:pt idx="3">
                  <c:v>0.77203710797528091</c:v>
                </c:pt>
                <c:pt idx="4">
                  <c:v>0.69179653196552016</c:v>
                </c:pt>
                <c:pt idx="5">
                  <c:v>0.60788113929158571</c:v>
                </c:pt>
                <c:pt idx="6">
                  <c:v>0.5208422325663975</c:v>
                </c:pt>
                <c:pt idx="7">
                  <c:v>0.43107368655434997</c:v>
                </c:pt>
                <c:pt idx="8">
                  <c:v>0.3388725101682043</c:v>
                </c:pt>
                <c:pt idx="9">
                  <c:v>0.24447153535795263</c:v>
                </c:pt>
                <c:pt idx="10">
                  <c:v>0.1480587169617279</c:v>
                </c:pt>
                <c:pt idx="11">
                  <c:v>4.9789307408830252E-2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9-4927-976D-1ED0CCAB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359234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de-DE"/>
                  <a:t>Entfernung von Transektlinie [cm]</a:t>
                </a:r>
              </a:p>
            </c:rich>
          </c:tx>
          <c:layout>
            <c:manualLayout>
              <c:xMode val="edge"/>
              <c:yMode val="edge"/>
              <c:x val="0.26135920836038479"/>
              <c:y val="0.88000584672678628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de-DE"/>
          </a:p>
        </c:txPr>
        <c:crossAx val="1"/>
        <c:crosses val="autoZero"/>
        <c:auto val="1"/>
        <c:lblAlgn val="ctr"/>
        <c:lblOffset val="15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de-DE"/>
                  <a:t>Beobachtungswahrscheinlichkeit</a:t>
                </a:r>
              </a:p>
            </c:rich>
          </c:tx>
          <c:layout>
            <c:manualLayout>
              <c:xMode val="edge"/>
              <c:yMode val="edge"/>
              <c:x val="1.7117108487048838E-2"/>
              <c:y val="6.722337673892459E-2"/>
            </c:manualLayout>
          </c:layout>
          <c:overlay val="0"/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de-DE"/>
          </a:p>
        </c:txPr>
        <c:crossAx val="359234408"/>
        <c:crossesAt val="1"/>
        <c:crossBetween val="between"/>
        <c:majorUnit val="0.2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8937473048727895"/>
          <c:y val="8.1684715336508881E-2"/>
          <c:w val="0.34558922696111888"/>
          <c:h val="0.11961815884125594"/>
        </c:manualLayout>
      </c:layout>
      <c:overlay val="0"/>
      <c:txPr>
        <a:bodyPr/>
        <a:lstStyle/>
        <a:p>
          <a:pPr>
            <a:defRPr sz="1100"/>
          </a:pPr>
          <a:endParaRPr lang="de-D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de-DE"/>
    </a:p>
  </c:txPr>
  <c:printSettings>
    <c:headerFooter alignWithMargins="0">
      <c:oddHeader>&amp;F</c:oddHeader>
      <c:oddFooter>Seite &amp;P</c:oddFooter>
    </c:headerFooter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776067467478357E-2"/>
          <c:y val="4.557187108368211E-2"/>
          <c:w val="0.89986276478560634"/>
          <c:h val="0.748959707479171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'Löffelente-Diadat'!$E$62</c:f>
              <c:strCache>
                <c:ptCount val="1"/>
                <c:pt idx="0">
                  <c:v>Emp g(xi)</c:v>
                </c:pt>
              </c:strCache>
            </c:strRef>
          </c:tx>
          <c:spPr>
            <a:solidFill>
              <a:srgbClr val="1FB714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'Löffelente-Diadat'!$C$63:$C$74</c:f>
              <c:numCache>
                <c:formatCode>General</c:formatCode>
                <c:ptCount val="12"/>
                <c:pt idx="0">
                  <c:v>15.25</c:v>
                </c:pt>
                <c:pt idx="1">
                  <c:v>45.75</c:v>
                </c:pt>
                <c:pt idx="2">
                  <c:v>76.25</c:v>
                </c:pt>
                <c:pt idx="3">
                  <c:v>106.75</c:v>
                </c:pt>
                <c:pt idx="4">
                  <c:v>137.25</c:v>
                </c:pt>
                <c:pt idx="5">
                  <c:v>167.75</c:v>
                </c:pt>
                <c:pt idx="6">
                  <c:v>198.25</c:v>
                </c:pt>
                <c:pt idx="7">
                  <c:v>228.75</c:v>
                </c:pt>
                <c:pt idx="8">
                  <c:v>259.25</c:v>
                </c:pt>
                <c:pt idx="9">
                  <c:v>289.75</c:v>
                </c:pt>
                <c:pt idx="10">
                  <c:v>320.25</c:v>
                </c:pt>
                <c:pt idx="11">
                  <c:v>350.75</c:v>
                </c:pt>
              </c:numCache>
            </c:numRef>
          </c:cat>
          <c:val>
            <c:numRef>
              <c:f>'Löffelente-Diadat'!$E$63:$E$74</c:f>
              <c:numCache>
                <c:formatCode>0.00</c:formatCode>
                <c:ptCount val="12"/>
                <c:pt idx="0">
                  <c:v>1</c:v>
                </c:pt>
                <c:pt idx="1">
                  <c:v>0.45454545454545453</c:v>
                </c:pt>
                <c:pt idx="2">
                  <c:v>0.63636363636363635</c:v>
                </c:pt>
                <c:pt idx="3">
                  <c:v>0.45454545454545453</c:v>
                </c:pt>
                <c:pt idx="4">
                  <c:v>0.36363636363636365</c:v>
                </c:pt>
                <c:pt idx="5">
                  <c:v>0.27272727272727271</c:v>
                </c:pt>
                <c:pt idx="6">
                  <c:v>0.18181818181818182</c:v>
                </c:pt>
                <c:pt idx="7">
                  <c:v>0.18181818181818182</c:v>
                </c:pt>
                <c:pt idx="8">
                  <c:v>0.18181818181818182</c:v>
                </c:pt>
                <c:pt idx="9">
                  <c:v>0.36363636363636365</c:v>
                </c:pt>
                <c:pt idx="10">
                  <c:v>0.18181818181818182</c:v>
                </c:pt>
                <c:pt idx="11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9-4927-976D-1ED0CCAB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"/>
        <c:axId val="359234408"/>
        <c:axId val="1"/>
      </c:barChart>
      <c:lineChart>
        <c:grouping val="standard"/>
        <c:varyColors val="0"/>
        <c:ser>
          <c:idx val="0"/>
          <c:order val="1"/>
          <c:tx>
            <c:strRef>
              <c:f>'Löffelente-Diadat'!$F$62</c:f>
              <c:strCache>
                <c:ptCount val="1"/>
                <c:pt idx="0">
                  <c:v>ga(x)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'Löffelente-Diadat'!$F$63:$F$74</c:f>
              <c:numCache>
                <c:formatCode>0.00</c:formatCode>
                <c:ptCount val="12"/>
                <c:pt idx="0">
                  <c:v>1</c:v>
                </c:pt>
                <c:pt idx="1">
                  <c:v>0.56231609386416204</c:v>
                </c:pt>
                <c:pt idx="2">
                  <c:v>0.48208350775289521</c:v>
                </c:pt>
                <c:pt idx="3">
                  <c:v>0.42135936534096974</c:v>
                </c:pt>
                <c:pt idx="4">
                  <c:v>0.37140339499213637</c:v>
                </c:pt>
                <c:pt idx="5">
                  <c:v>0.32843506169418968</c:v>
                </c:pt>
                <c:pt idx="6">
                  <c:v>0.29043291933562321</c:v>
                </c:pt>
                <c:pt idx="7">
                  <c:v>0.25617427522438563</c:v>
                </c:pt>
                <c:pt idx="8">
                  <c:v>0.22485661735568685</c:v>
                </c:pt>
                <c:pt idx="9">
                  <c:v>0.19592152601607327</c:v>
                </c:pt>
                <c:pt idx="10">
                  <c:v>0.16896295850234977</c:v>
                </c:pt>
                <c:pt idx="11">
                  <c:v>0.14367534903331303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9-4927-976D-1ED0CCAB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359234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de-DE"/>
                  <a:t>Entfernung von Transektlinie [cm]</a:t>
                </a:r>
              </a:p>
            </c:rich>
          </c:tx>
          <c:layout>
            <c:manualLayout>
              <c:xMode val="edge"/>
              <c:yMode val="edge"/>
              <c:x val="0.2998467604460604"/>
              <c:y val="0.90750053075393133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de-DE"/>
          </a:p>
        </c:txPr>
        <c:crossAx val="1"/>
        <c:crosses val="autoZero"/>
        <c:auto val="0"/>
        <c:lblAlgn val="ctr"/>
        <c:lblOffset val="15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de-DE"/>
                  <a:t>Beobachtungswahrscheinlichkeit</a:t>
                </a:r>
              </a:p>
            </c:rich>
          </c:tx>
          <c:layout>
            <c:manualLayout>
              <c:xMode val="edge"/>
              <c:yMode val="edge"/>
              <c:x val="1.1410481617444892E-2"/>
              <c:y val="0.11095364376541049"/>
            </c:manualLayout>
          </c:layout>
          <c:overlay val="0"/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de-DE"/>
          </a:p>
        </c:txPr>
        <c:crossAx val="359234408"/>
        <c:crosses val="autoZero"/>
        <c:crossBetween val="between"/>
        <c:majorUnit val="0.2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8937473048727895"/>
          <c:y val="8.1684715336508881E-2"/>
          <c:w val="0.34558922696111888"/>
          <c:h val="0.11961815884125594"/>
        </c:manualLayout>
      </c:layout>
      <c:overlay val="0"/>
      <c:txPr>
        <a:bodyPr/>
        <a:lstStyle/>
        <a:p>
          <a:pPr>
            <a:defRPr sz="1100"/>
          </a:pPr>
          <a:endParaRPr lang="de-D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de-DE"/>
    </a:p>
  </c:txPr>
  <c:printSettings>
    <c:headerFooter alignWithMargins="0">
      <c:oddHeader>&amp;F</c:oddHeader>
      <c:oddFooter>Seite &amp;P</c:oddFooter>
    </c:headerFooter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Regressionsanalyse!$B$3</c:f>
              <c:strCache>
                <c:ptCount val="1"/>
                <c:pt idx="0">
                  <c:v>ln (g(x)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593881905112737"/>
                  <c:y val="-1.1596524572359489E-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de-DE"/>
                </a:p>
              </c:txPr>
            </c:trendlineLbl>
          </c:trendline>
          <c:xVal>
            <c:numRef>
              <c:f>Regressionsanalyse!$A$4:$A$14</c:f>
              <c:numCache>
                <c:formatCode>General</c:formatCode>
                <c:ptCount val="11"/>
                <c:pt idx="0">
                  <c:v>3.8231917917215301</c:v>
                </c:pt>
                <c:pt idx="1">
                  <c:v>4.3340174154875211</c:v>
                </c:pt>
                <c:pt idx="2">
                  <c:v>4.670489652108734</c:v>
                </c:pt>
                <c:pt idx="3">
                  <c:v>4.9218040803896397</c:v>
                </c:pt>
                <c:pt idx="4">
                  <c:v>5.1224747758517912</c:v>
                </c:pt>
                <c:pt idx="5">
                  <c:v>5.2895288605149577</c:v>
                </c:pt>
                <c:pt idx="6">
                  <c:v>5.4326297041556311</c:v>
                </c:pt>
                <c:pt idx="7">
                  <c:v>5.5577928471096367</c:v>
                </c:pt>
                <c:pt idx="8">
                  <c:v>5.6690184822198608</c:v>
                </c:pt>
                <c:pt idx="9">
                  <c:v>5.769101940776844</c:v>
                </c:pt>
                <c:pt idx="10">
                  <c:v>5.8600737189825702</c:v>
                </c:pt>
              </c:numCache>
            </c:numRef>
          </c:xVal>
          <c:yVal>
            <c:numRef>
              <c:f>Regressionsanalyse!$B$4:$B$14</c:f>
              <c:numCache>
                <c:formatCode>General</c:formatCode>
                <c:ptCount val="11"/>
                <c:pt idx="0">
                  <c:v>-0.6061358035703156</c:v>
                </c:pt>
                <c:pt idx="1">
                  <c:v>-1.0116009116784799</c:v>
                </c:pt>
                <c:pt idx="2">
                  <c:v>-0.6061358035703156</c:v>
                </c:pt>
                <c:pt idx="3">
                  <c:v>-0.45198512374305727</c:v>
                </c:pt>
                <c:pt idx="4">
                  <c:v>-0.31845373111853459</c:v>
                </c:pt>
                <c:pt idx="5">
                  <c:v>-0.20067069546215124</c:v>
                </c:pt>
                <c:pt idx="6">
                  <c:v>-0.20067069546215124</c:v>
                </c:pt>
                <c:pt idx="7">
                  <c:v>-0.20067069546215124</c:v>
                </c:pt>
                <c:pt idx="8">
                  <c:v>-0.45198512374305727</c:v>
                </c:pt>
                <c:pt idx="9">
                  <c:v>-0.20067069546215124</c:v>
                </c:pt>
                <c:pt idx="10">
                  <c:v>-9.5310179804324893E-2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B3-D54D-B55E-4DB07077F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959055"/>
        <c:axId val="1"/>
      </c:scatterChart>
      <c:valAx>
        <c:axId val="136495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36495905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219111</xdr:colOff>
      <xdr:row>84</xdr:row>
      <xdr:rowOff>111874</xdr:rowOff>
    </xdr:from>
    <xdr:to>
      <xdr:col>8</xdr:col>
      <xdr:colOff>879511</xdr:colOff>
      <xdr:row>100</xdr:row>
      <xdr:rowOff>127784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BF75709-A902-B334-E716-FB5491E2B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999899</xdr:colOff>
      <xdr:row>18</xdr:row>
      <xdr:rowOff>0</xdr:rowOff>
    </xdr:from>
    <xdr:to>
      <xdr:col>19</xdr:col>
      <xdr:colOff>396422</xdr:colOff>
      <xdr:row>40</xdr:row>
      <xdr:rowOff>125638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C94D7E-0D03-4EFD-A753-70DE1D764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166686</xdr:colOff>
      <xdr:row>59</xdr:row>
      <xdr:rowOff>152400</xdr:rowOff>
    </xdr:from>
    <xdr:to>
      <xdr:col>27</xdr:col>
      <xdr:colOff>57149</xdr:colOff>
      <xdr:row>96</xdr:row>
      <xdr:rowOff>104776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F0CDEF-EA6A-4083-933B-20F0AD313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482600</xdr:colOff>
      <xdr:row>4</xdr:row>
      <xdr:rowOff>127000</xdr:rowOff>
    </xdr:from>
    <xdr:to>
      <xdr:col>10</xdr:col>
      <xdr:colOff>901700</xdr:colOff>
      <xdr:row>25</xdr:row>
      <xdr:rowOff>76200</xdr:rowOff>
    </xdr:to>
    <xdr:graphicFrame macro="">
      <xdr:nvGraphicFramePr>
        <xdr:cNvPr id="83990" name="Diagramm 1">
          <a:extLst>
            <a:ext uri="{FF2B5EF4-FFF2-40B4-BE49-F238E27FC236}">
              <a16:creationId xmlns:a16="http://schemas.microsoft.com/office/drawing/2014/main" id="{800682BC-23F0-1E23-2ACA-F296A3AE0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7029-2111-2B4D-BCA1-07D95F9812E0}">
  <dimension ref="A1:S117"/>
  <sheetViews>
    <sheetView tabSelected="1" topLeftCell="A86" zoomScaleNormal="100" workbookViewId="0">
      <selection activeCell="A111" sqref="A111"/>
    </sheetView>
  </sheetViews>
  <sheetFormatPr baseColWidth="10" defaultColWidth="11.42578125" defaultRowHeight="14" x14ac:dyDescent="0.2"/>
  <cols>
    <col min="1" max="1" width="16" customWidth="1"/>
    <col min="2" max="3" width="11.85546875" bestFit="1" customWidth="1"/>
    <col min="5" max="5" width="11.85546875" customWidth="1"/>
    <col min="9" max="9" width="13.140625" customWidth="1"/>
    <col min="10" max="10" width="12" bestFit="1" customWidth="1"/>
    <col min="13" max="13" width="13.85546875" customWidth="1"/>
  </cols>
  <sheetData>
    <row r="1" spans="1:2" x14ac:dyDescent="0.2">
      <c r="A1" s="9" t="s">
        <v>31</v>
      </c>
    </row>
    <row r="2" spans="1:2" ht="16" x14ac:dyDescent="0.2">
      <c r="A2" s="9" t="s">
        <v>13</v>
      </c>
      <c r="B2" s="10" t="s">
        <v>14</v>
      </c>
    </row>
    <row r="3" spans="1:2" ht="16" x14ac:dyDescent="0.2">
      <c r="A3" s="5"/>
      <c r="B3" s="10"/>
    </row>
    <row r="4" spans="1:2" ht="16" x14ac:dyDescent="0.2">
      <c r="A4" s="5" t="s">
        <v>29</v>
      </c>
      <c r="B4" s="10"/>
    </row>
    <row r="5" spans="1:2" ht="16" x14ac:dyDescent="0.2">
      <c r="A5" s="5" t="s">
        <v>30</v>
      </c>
      <c r="B5" s="10"/>
    </row>
    <row r="6" spans="1:2" ht="16" x14ac:dyDescent="0.2">
      <c r="A6" s="5" t="s">
        <v>50</v>
      </c>
      <c r="B6" s="10"/>
    </row>
    <row r="7" spans="1:2" ht="16" x14ac:dyDescent="0.2">
      <c r="B7" s="10"/>
    </row>
    <row r="8" spans="1:2" ht="16" x14ac:dyDescent="0.2">
      <c r="A8" s="5" t="s">
        <v>51</v>
      </c>
      <c r="B8" s="10"/>
    </row>
    <row r="9" spans="1:2" ht="16" x14ac:dyDescent="0.2">
      <c r="A9" s="5" t="s">
        <v>52</v>
      </c>
      <c r="B9" s="10"/>
    </row>
    <row r="10" spans="1:2" ht="16" x14ac:dyDescent="0.2">
      <c r="A10" s="5" t="s">
        <v>81</v>
      </c>
      <c r="B10" s="10"/>
    </row>
    <row r="11" spans="1:2" ht="16" x14ac:dyDescent="0.2">
      <c r="A11" s="5" t="s">
        <v>73</v>
      </c>
      <c r="B11" s="10"/>
    </row>
    <row r="12" spans="1:2" ht="16" x14ac:dyDescent="0.2">
      <c r="A12" s="5"/>
      <c r="B12" s="10"/>
    </row>
    <row r="14" spans="1:2" x14ac:dyDescent="0.2">
      <c r="A14" s="9" t="s">
        <v>15</v>
      </c>
    </row>
    <row r="15" spans="1:2" x14ac:dyDescent="0.2">
      <c r="A15" s="5" t="s">
        <v>16</v>
      </c>
      <c r="B15" s="5" t="s">
        <v>17</v>
      </c>
    </row>
    <row r="16" spans="1:2" x14ac:dyDescent="0.2">
      <c r="A16" s="5" t="s">
        <v>18</v>
      </c>
      <c r="B16" s="5" t="s">
        <v>19</v>
      </c>
    </row>
    <row r="17" spans="1:14" x14ac:dyDescent="0.2">
      <c r="A17" s="5" t="s">
        <v>20</v>
      </c>
      <c r="B17" s="5" t="s">
        <v>21</v>
      </c>
    </row>
    <row r="18" spans="1:14" x14ac:dyDescent="0.2">
      <c r="A18" s="5" t="s">
        <v>2</v>
      </c>
      <c r="B18" s="5" t="s">
        <v>44</v>
      </c>
    </row>
    <row r="19" spans="1:14" x14ac:dyDescent="0.2">
      <c r="A19" s="5" t="s">
        <v>37</v>
      </c>
      <c r="B19" s="5" t="s">
        <v>22</v>
      </c>
    </row>
    <row r="20" spans="1:14" x14ac:dyDescent="0.2">
      <c r="A20" s="5" t="s">
        <v>23</v>
      </c>
      <c r="B20" s="5" t="s">
        <v>46</v>
      </c>
    </row>
    <row r="21" spans="1:14" x14ac:dyDescent="0.2">
      <c r="A21" s="5" t="s">
        <v>4</v>
      </c>
      <c r="B21" s="5" t="s">
        <v>24</v>
      </c>
    </row>
    <row r="22" spans="1:14" x14ac:dyDescent="0.2">
      <c r="A22" s="5" t="s">
        <v>25</v>
      </c>
      <c r="B22" s="5" t="s">
        <v>26</v>
      </c>
    </row>
    <row r="23" spans="1:14" x14ac:dyDescent="0.2">
      <c r="A23" s="5" t="s">
        <v>27</v>
      </c>
      <c r="B23" s="5" t="s">
        <v>28</v>
      </c>
    </row>
    <row r="24" spans="1:14" ht="16" x14ac:dyDescent="0.2">
      <c r="A24" s="5" t="s">
        <v>3</v>
      </c>
      <c r="B24" s="10" t="s">
        <v>45</v>
      </c>
    </row>
    <row r="25" spans="1:14" ht="16" x14ac:dyDescent="0.2">
      <c r="A25" s="5"/>
      <c r="B25" s="10"/>
    </row>
    <row r="26" spans="1:14" ht="16" x14ac:dyDescent="0.2">
      <c r="A26" s="5"/>
      <c r="B26" s="10"/>
    </row>
    <row r="27" spans="1:14" x14ac:dyDescent="0.2">
      <c r="A27" s="9" t="s">
        <v>59</v>
      </c>
    </row>
    <row r="28" spans="1:14" x14ac:dyDescent="0.2">
      <c r="I28" s="5" t="s">
        <v>11</v>
      </c>
    </row>
    <row r="29" spans="1:14" x14ac:dyDescent="0.2">
      <c r="A29" s="5" t="s">
        <v>16</v>
      </c>
      <c r="B29" s="5" t="s">
        <v>18</v>
      </c>
      <c r="C29" s="5" t="s">
        <v>25</v>
      </c>
      <c r="D29" s="5" t="s">
        <v>32</v>
      </c>
      <c r="E29" s="5" t="s">
        <v>36</v>
      </c>
      <c r="F29" s="5" t="s">
        <v>23</v>
      </c>
      <c r="G29" s="5" t="s">
        <v>20</v>
      </c>
      <c r="H29" s="5" t="s">
        <v>33</v>
      </c>
      <c r="I29" s="5" t="s">
        <v>34</v>
      </c>
    </row>
    <row r="30" spans="1:14" x14ac:dyDescent="0.2">
      <c r="A30">
        <v>1</v>
      </c>
      <c r="B30">
        <v>11</v>
      </c>
      <c r="C30">
        <v>15.25</v>
      </c>
      <c r="D30">
        <f t="shared" ref="D30:D41" si="0">B30*C30</f>
        <v>167.75</v>
      </c>
      <c r="E30" s="4">
        <v>1</v>
      </c>
      <c r="F30" s="4">
        <v>1</v>
      </c>
      <c r="I30" s="11"/>
      <c r="J30" s="12"/>
      <c r="L30" s="4"/>
      <c r="M30" s="4"/>
      <c r="N30" s="1"/>
    </row>
    <row r="31" spans="1:14" x14ac:dyDescent="0.2">
      <c r="A31">
        <v>2</v>
      </c>
      <c r="B31">
        <v>5</v>
      </c>
      <c r="C31">
        <f>C30+30.5</f>
        <v>45.75</v>
      </c>
      <c r="D31">
        <f t="shared" si="0"/>
        <v>228.75</v>
      </c>
      <c r="E31" s="4">
        <f>B31/B30</f>
        <v>0.45454545454545453</v>
      </c>
      <c r="F31" s="4">
        <f>1-(C31/B49)^B50</f>
        <v>0.91753075557669406</v>
      </c>
      <c r="G31">
        <f>B47*B51*F31</f>
        <v>6.7285588742290923</v>
      </c>
      <c r="H31">
        <f t="shared" ref="H31:H41" si="1">ROUND(G31,0)</f>
        <v>7</v>
      </c>
      <c r="I31" s="11">
        <f t="shared" ref="I31:I38" si="2">(B31-H31)^2/H31</f>
        <v>0.5714285714285714</v>
      </c>
      <c r="J31" s="6"/>
      <c r="L31" s="4"/>
      <c r="M31" s="4"/>
      <c r="N31" s="1"/>
    </row>
    <row r="32" spans="1:14" x14ac:dyDescent="0.2">
      <c r="A32">
        <v>3</v>
      </c>
      <c r="B32" s="2">
        <v>7</v>
      </c>
      <c r="C32">
        <f t="shared" ref="C32:C41" si="3">C31+30.5</f>
        <v>76.25</v>
      </c>
      <c r="D32">
        <f t="shared" si="0"/>
        <v>533.75</v>
      </c>
      <c r="E32" s="4">
        <f>B32/B30</f>
        <v>0.63636363636363635</v>
      </c>
      <c r="F32" s="4">
        <f>1-(C32/B49)^B50</f>
        <v>0.84776640087271615</v>
      </c>
      <c r="G32">
        <f>B47*B51*F32</f>
        <v>6.2169536063999207</v>
      </c>
      <c r="H32">
        <f t="shared" si="1"/>
        <v>6</v>
      </c>
      <c r="I32" s="11">
        <f t="shared" si="2"/>
        <v>0.16666666666666666</v>
      </c>
      <c r="J32" s="6"/>
      <c r="L32" s="4"/>
      <c r="M32" s="4"/>
      <c r="N32" s="1"/>
    </row>
    <row r="33" spans="1:14" x14ac:dyDescent="0.2">
      <c r="A33">
        <v>4</v>
      </c>
      <c r="B33" s="2">
        <v>5</v>
      </c>
      <c r="C33">
        <f t="shared" si="3"/>
        <v>106.75</v>
      </c>
      <c r="D33">
        <f t="shared" si="0"/>
        <v>533.75</v>
      </c>
      <c r="E33" s="4">
        <f>B33/B30</f>
        <v>0.45454545454545453</v>
      </c>
      <c r="F33" s="4">
        <f>1-(C33/B49)^B50</f>
        <v>0.77203710797528091</v>
      </c>
      <c r="G33">
        <f>B47*B51*F33</f>
        <v>5.6616054584853952</v>
      </c>
      <c r="H33">
        <f t="shared" si="1"/>
        <v>6</v>
      </c>
      <c r="I33" s="11">
        <f t="shared" si="2"/>
        <v>0.16666666666666666</v>
      </c>
      <c r="J33" s="6"/>
      <c r="L33" s="4"/>
      <c r="M33" s="4"/>
      <c r="N33" s="1"/>
    </row>
    <row r="34" spans="1:14" x14ac:dyDescent="0.2">
      <c r="A34">
        <v>5</v>
      </c>
      <c r="B34" s="2">
        <v>4</v>
      </c>
      <c r="C34">
        <f t="shared" si="3"/>
        <v>137.25</v>
      </c>
      <c r="D34">
        <f t="shared" si="0"/>
        <v>549</v>
      </c>
      <c r="E34" s="4">
        <f>B34/B30</f>
        <v>0.36363636363636365</v>
      </c>
      <c r="F34" s="4">
        <f>1-(C34/B49)^B50</f>
        <v>0.69179653196552016</v>
      </c>
      <c r="G34">
        <f>B47*B51*F34</f>
        <v>5.0731745677471496</v>
      </c>
      <c r="H34">
        <f t="shared" si="1"/>
        <v>5</v>
      </c>
      <c r="I34" s="11">
        <f t="shared" si="2"/>
        <v>0.2</v>
      </c>
      <c r="J34" s="6"/>
      <c r="L34" s="4"/>
      <c r="M34" s="4"/>
      <c r="N34" s="1"/>
    </row>
    <row r="35" spans="1:14" x14ac:dyDescent="0.2">
      <c r="A35">
        <v>6</v>
      </c>
      <c r="B35" s="2">
        <v>3</v>
      </c>
      <c r="C35">
        <f t="shared" si="3"/>
        <v>167.75</v>
      </c>
      <c r="D35">
        <f t="shared" si="0"/>
        <v>503.25</v>
      </c>
      <c r="E35" s="4">
        <f>B35/B30</f>
        <v>0.27272727272727271</v>
      </c>
      <c r="F35" s="4">
        <f>1-(C35/B49)^B50</f>
        <v>0.60788113929158571</v>
      </c>
      <c r="G35">
        <f>B47*B51*F35</f>
        <v>4.4577950214716298</v>
      </c>
      <c r="H35">
        <f t="shared" si="1"/>
        <v>4</v>
      </c>
      <c r="I35" s="11">
        <f t="shared" si="2"/>
        <v>0.25</v>
      </c>
      <c r="J35" s="6"/>
      <c r="L35" s="4"/>
      <c r="M35" s="4"/>
      <c r="N35" s="1"/>
    </row>
    <row r="36" spans="1:14" x14ac:dyDescent="0.2">
      <c r="A36">
        <v>7</v>
      </c>
      <c r="B36" s="2">
        <v>2</v>
      </c>
      <c r="C36">
        <f t="shared" si="3"/>
        <v>198.25</v>
      </c>
      <c r="D36">
        <f t="shared" si="0"/>
        <v>396.5</v>
      </c>
      <c r="E36" s="4">
        <f>B36/B30</f>
        <v>0.18181818181818182</v>
      </c>
      <c r="F36" s="4">
        <f>1-(C36/B49)^B50</f>
        <v>0.5208422325663975</v>
      </c>
      <c r="G36">
        <f>B47*B51*F36</f>
        <v>3.819509705486916</v>
      </c>
      <c r="H36">
        <f t="shared" si="1"/>
        <v>4</v>
      </c>
      <c r="I36" s="11">
        <f t="shared" si="2"/>
        <v>1</v>
      </c>
      <c r="J36" s="6"/>
      <c r="L36" s="4"/>
      <c r="M36" s="4"/>
      <c r="N36" s="1"/>
    </row>
    <row r="37" spans="1:14" x14ac:dyDescent="0.2">
      <c r="A37">
        <v>8</v>
      </c>
      <c r="B37" s="2">
        <v>2</v>
      </c>
      <c r="C37">
        <f t="shared" si="3"/>
        <v>228.75</v>
      </c>
      <c r="D37">
        <f t="shared" si="0"/>
        <v>457.5</v>
      </c>
      <c r="E37" s="4">
        <f>B37/B30</f>
        <v>0.18181818181818182</v>
      </c>
      <c r="F37" s="4">
        <f>1-(C37/B49)^B50</f>
        <v>0.43107368655434997</v>
      </c>
      <c r="G37">
        <f>B47*B51*F37</f>
        <v>3.1612070347319006</v>
      </c>
      <c r="H37">
        <f t="shared" si="1"/>
        <v>3</v>
      </c>
      <c r="I37" s="11">
        <f t="shared" si="2"/>
        <v>0.33333333333333331</v>
      </c>
      <c r="J37" s="6"/>
      <c r="L37" s="4"/>
      <c r="M37" s="4"/>
      <c r="N37" s="1"/>
    </row>
    <row r="38" spans="1:14" ht="12" customHeight="1" x14ac:dyDescent="0.2">
      <c r="A38">
        <v>9</v>
      </c>
      <c r="B38" s="2">
        <v>2</v>
      </c>
      <c r="C38">
        <f t="shared" si="3"/>
        <v>259.25</v>
      </c>
      <c r="D38">
        <f t="shared" si="0"/>
        <v>518.5</v>
      </c>
      <c r="E38" s="4">
        <f>B38/B30</f>
        <v>0.18181818181818182</v>
      </c>
      <c r="F38" s="4">
        <f>1-(C38/B49)^B50</f>
        <v>0.3388725101682043</v>
      </c>
      <c r="G38">
        <f>B47*B51*F38</f>
        <v>2.4850650745668323</v>
      </c>
      <c r="H38">
        <f t="shared" si="1"/>
        <v>2</v>
      </c>
      <c r="I38" s="11">
        <f t="shared" si="2"/>
        <v>0</v>
      </c>
      <c r="J38" s="6"/>
      <c r="K38" s="5"/>
      <c r="L38" s="4"/>
      <c r="M38" s="4"/>
      <c r="N38" s="1"/>
    </row>
    <row r="39" spans="1:14" x14ac:dyDescent="0.2">
      <c r="A39">
        <v>10</v>
      </c>
      <c r="B39" s="13">
        <v>4</v>
      </c>
      <c r="C39">
        <f t="shared" si="3"/>
        <v>289.75</v>
      </c>
      <c r="D39">
        <f t="shared" si="0"/>
        <v>1159</v>
      </c>
      <c r="E39" s="4">
        <f>B39/B30</f>
        <v>0.36363636363636365</v>
      </c>
      <c r="F39" s="4">
        <f>1-(C39/B49)^B50</f>
        <v>0.24447153535795263</v>
      </c>
      <c r="G39" s="14">
        <f>B47*B51*F39</f>
        <v>1.7927912592916533</v>
      </c>
      <c r="H39" s="14">
        <f t="shared" si="1"/>
        <v>2</v>
      </c>
      <c r="I39" s="15"/>
      <c r="J39" s="15"/>
      <c r="L39" s="4"/>
      <c r="M39" s="4"/>
      <c r="N39" s="1"/>
    </row>
    <row r="40" spans="1:14" x14ac:dyDescent="0.2">
      <c r="A40">
        <v>11</v>
      </c>
      <c r="B40" s="13">
        <v>2</v>
      </c>
      <c r="C40">
        <f t="shared" si="3"/>
        <v>320.25</v>
      </c>
      <c r="D40">
        <f t="shared" si="0"/>
        <v>640.5</v>
      </c>
      <c r="E40" s="4">
        <f>B40/B30</f>
        <v>0.18181818181818182</v>
      </c>
      <c r="F40" s="4">
        <f>1-(C40/B49)^B50</f>
        <v>0.1480587169617279</v>
      </c>
      <c r="G40" s="14">
        <f>B47*B51*F40</f>
        <v>1.0857639243860049</v>
      </c>
      <c r="H40" s="14">
        <f t="shared" si="1"/>
        <v>1</v>
      </c>
      <c r="I40" s="15">
        <f>((B39+B40+B41)-(H39+H40+H41))^2/(H39+H40+H41)</f>
        <v>5.333333333333333</v>
      </c>
      <c r="J40" s="15"/>
      <c r="L40" s="4"/>
      <c r="M40" s="4"/>
      <c r="N40" s="1"/>
    </row>
    <row r="41" spans="1:14" x14ac:dyDescent="0.2">
      <c r="A41">
        <v>12</v>
      </c>
      <c r="B41" s="13">
        <v>1</v>
      </c>
      <c r="C41">
        <f t="shared" si="3"/>
        <v>350.75</v>
      </c>
      <c r="D41">
        <f t="shared" si="0"/>
        <v>350.75</v>
      </c>
      <c r="E41" s="4">
        <f>B41/B30</f>
        <v>9.0909090909090912E-2</v>
      </c>
      <c r="F41" s="4">
        <f>1-(C41/B49)^B50</f>
        <v>4.9789307408830252E-2</v>
      </c>
      <c r="G41" s="14">
        <f>B47*B51*F41</f>
        <v>0.36512158766475528</v>
      </c>
      <c r="H41" s="14">
        <f t="shared" si="1"/>
        <v>0</v>
      </c>
      <c r="I41" s="15"/>
      <c r="J41" s="15"/>
      <c r="L41" s="4"/>
      <c r="M41" s="4"/>
      <c r="N41" s="1"/>
    </row>
    <row r="42" spans="1:14" ht="14" customHeight="1" x14ac:dyDescent="0.2">
      <c r="A42" s="5" t="s">
        <v>0</v>
      </c>
      <c r="B42">
        <f>SUM(B30:B41)</f>
        <v>48</v>
      </c>
      <c r="C42">
        <f>SUM(C30:C41)</f>
        <v>2196</v>
      </c>
      <c r="D42">
        <f>SUM(D30:D41)</f>
        <v>6039</v>
      </c>
      <c r="H42">
        <f>SUM(H30:H41)</f>
        <v>40</v>
      </c>
      <c r="I42" s="2">
        <f>SUM(I30:I41)</f>
        <v>8.0214285714285705</v>
      </c>
      <c r="L42" s="4"/>
      <c r="M42" s="4"/>
      <c r="N42" s="1"/>
    </row>
    <row r="43" spans="1:14" x14ac:dyDescent="0.2">
      <c r="A43" s="5"/>
      <c r="H43" s="5" t="s">
        <v>12</v>
      </c>
      <c r="I43" s="5" t="s">
        <v>74</v>
      </c>
      <c r="J43" s="5" t="s">
        <v>75</v>
      </c>
      <c r="L43" s="4"/>
      <c r="M43" s="4"/>
      <c r="N43" s="1"/>
    </row>
    <row r="44" spans="1:14" x14ac:dyDescent="0.2">
      <c r="A44" s="16"/>
      <c r="L44" s="4"/>
      <c r="M44" s="4"/>
      <c r="N44" s="1"/>
    </row>
    <row r="45" spans="1:14" x14ac:dyDescent="0.2">
      <c r="A45" s="5" t="s">
        <v>53</v>
      </c>
      <c r="B45">
        <v>198073000</v>
      </c>
      <c r="G45" s="14" t="s">
        <v>35</v>
      </c>
      <c r="I45" s="2"/>
      <c r="L45" s="4"/>
      <c r="M45" s="4"/>
      <c r="N45" s="1"/>
    </row>
    <row r="46" spans="1:14" x14ac:dyDescent="0.2">
      <c r="A46" s="5" t="s">
        <v>54</v>
      </c>
      <c r="B46">
        <v>30.5</v>
      </c>
      <c r="I46" s="2"/>
      <c r="L46" s="4"/>
      <c r="M46" s="4"/>
      <c r="N46" s="1"/>
    </row>
    <row r="47" spans="1:14" x14ac:dyDescent="0.2">
      <c r="A47" s="5" t="s">
        <v>57</v>
      </c>
      <c r="B47">
        <f>2*B45*B46</f>
        <v>12082453000</v>
      </c>
      <c r="G47" s="5" t="s">
        <v>76</v>
      </c>
      <c r="I47" s="2"/>
      <c r="L47" s="4"/>
      <c r="M47" s="4"/>
      <c r="N47" s="1"/>
    </row>
    <row r="48" spans="1:14" x14ac:dyDescent="0.2">
      <c r="A48" s="5" t="s">
        <v>55</v>
      </c>
      <c r="B48">
        <f>D42/B42</f>
        <v>125.8125</v>
      </c>
      <c r="I48" s="2"/>
      <c r="L48" s="4"/>
      <c r="M48" s="4"/>
      <c r="N48" s="1"/>
    </row>
    <row r="49" spans="1:19" x14ac:dyDescent="0.2">
      <c r="A49" s="5" t="s">
        <v>56</v>
      </c>
      <c r="B49">
        <v>366</v>
      </c>
    </row>
    <row r="50" spans="1:19" x14ac:dyDescent="0.2">
      <c r="A50" s="5" t="s">
        <v>4</v>
      </c>
      <c r="B50">
        <f>(4*B48-B49)/(B49-2*B48)</f>
        <v>1.2</v>
      </c>
    </row>
    <row r="51" spans="1:19" x14ac:dyDescent="0.2">
      <c r="A51" s="5" t="s">
        <v>5</v>
      </c>
      <c r="B51">
        <f>B42*(B50+1)^2/(4*B45*B48*B50*(B50+2))</f>
        <v>6.0694077049861774E-10</v>
      </c>
    </row>
    <row r="52" spans="1:19" x14ac:dyDescent="0.2">
      <c r="A52" s="5" t="s">
        <v>6</v>
      </c>
      <c r="B52">
        <f>B51*100*100</f>
        <v>6.0694077049861774E-6</v>
      </c>
    </row>
    <row r="53" spans="1:19" x14ac:dyDescent="0.2">
      <c r="A53" s="5" t="s">
        <v>7</v>
      </c>
      <c r="B53">
        <f>B52*1000*1000</f>
        <v>6.0694077049861779</v>
      </c>
    </row>
    <row r="56" spans="1:19" x14ac:dyDescent="0.2">
      <c r="A56" s="9" t="s">
        <v>58</v>
      </c>
    </row>
    <row r="57" spans="1:19" x14ac:dyDescent="0.2">
      <c r="A57" s="5" t="s">
        <v>68</v>
      </c>
    </row>
    <row r="58" spans="1:19" x14ac:dyDescent="0.2">
      <c r="A58" s="5" t="s">
        <v>67</v>
      </c>
    </row>
    <row r="61" spans="1:19" x14ac:dyDescent="0.2">
      <c r="F61" s="5" t="s">
        <v>38</v>
      </c>
      <c r="I61" s="5" t="s">
        <v>61</v>
      </c>
      <c r="K61" s="5" t="s">
        <v>41</v>
      </c>
      <c r="L61" s="5" t="s">
        <v>39</v>
      </c>
      <c r="O61" s="5" t="s">
        <v>41</v>
      </c>
    </row>
    <row r="62" spans="1:19" x14ac:dyDescent="0.2">
      <c r="A62" s="5" t="s">
        <v>16</v>
      </c>
      <c r="B62" s="5" t="s">
        <v>18</v>
      </c>
      <c r="C62" s="5" t="s">
        <v>25</v>
      </c>
      <c r="D62" s="5" t="s">
        <v>32</v>
      </c>
      <c r="E62" s="5" t="s">
        <v>36</v>
      </c>
      <c r="F62" s="5" t="s">
        <v>23</v>
      </c>
      <c r="G62" s="5" t="s">
        <v>20</v>
      </c>
      <c r="H62" s="5" t="s">
        <v>33</v>
      </c>
      <c r="I62" s="5" t="s">
        <v>40</v>
      </c>
      <c r="J62" s="5" t="s">
        <v>60</v>
      </c>
      <c r="K62" s="5" t="s">
        <v>34</v>
      </c>
      <c r="L62" s="5" t="s">
        <v>23</v>
      </c>
      <c r="M62" s="5" t="s">
        <v>42</v>
      </c>
      <c r="N62" s="5" t="s">
        <v>43</v>
      </c>
      <c r="O62" s="5" t="s">
        <v>34</v>
      </c>
      <c r="R62" s="5"/>
    </row>
    <row r="63" spans="1:19" x14ac:dyDescent="0.2">
      <c r="A63">
        <v>1</v>
      </c>
      <c r="B63">
        <v>11</v>
      </c>
      <c r="C63">
        <v>15.25</v>
      </c>
      <c r="D63">
        <f t="shared" ref="D63:D74" si="4">B63*C63</f>
        <v>167.75</v>
      </c>
      <c r="E63" s="4">
        <v>1</v>
      </c>
      <c r="F63" s="4">
        <v>1</v>
      </c>
      <c r="K63" s="11"/>
      <c r="L63" s="11">
        <v>1</v>
      </c>
      <c r="R63" s="7"/>
      <c r="S63" s="4"/>
    </row>
    <row r="64" spans="1:19" x14ac:dyDescent="0.2">
      <c r="A64">
        <v>2</v>
      </c>
      <c r="B64">
        <v>5</v>
      </c>
      <c r="C64">
        <f t="shared" ref="C64:C74" si="5">C63+30.5</f>
        <v>45.75</v>
      </c>
      <c r="D64">
        <f t="shared" si="4"/>
        <v>228.75</v>
      </c>
      <c r="E64" s="4">
        <f>B64/B63</f>
        <v>0.45454545454545453</v>
      </c>
      <c r="F64" s="4">
        <f>1-(C64/B94)^B95</f>
        <v>0.56231609386416204</v>
      </c>
      <c r="G64">
        <f>B92*B96*F64</f>
        <v>7.5340127690500118</v>
      </c>
      <c r="H64">
        <f t="shared" ref="H64:H74" si="6">ROUND(G64,0)</f>
        <v>8</v>
      </c>
      <c r="I64">
        <f t="shared" ref="I64:I74" si="7">LN(C64)</f>
        <v>3.8231917917215301</v>
      </c>
      <c r="J64">
        <f>LN(1-E64)</f>
        <v>-0.6061358035703156</v>
      </c>
      <c r="K64" s="11">
        <f t="shared" ref="K64:K74" si="8">(B64-H64)^2/H64</f>
        <v>1.125</v>
      </c>
      <c r="L64" s="11">
        <f>EXP(-C89*C64)</f>
        <v>0.37562398845300266</v>
      </c>
      <c r="M64">
        <f>C92*C96*L64</f>
        <v>4.2798369593433021</v>
      </c>
      <c r="N64">
        <f t="shared" ref="N64:N74" si="9">ROUND(M64,0)</f>
        <v>4</v>
      </c>
      <c r="Q64" s="6"/>
      <c r="R64" s="7"/>
      <c r="S64" s="4"/>
    </row>
    <row r="65" spans="1:19" x14ac:dyDescent="0.2">
      <c r="A65">
        <v>3</v>
      </c>
      <c r="B65" s="13">
        <v>7</v>
      </c>
      <c r="C65">
        <f t="shared" si="5"/>
        <v>76.25</v>
      </c>
      <c r="D65">
        <f t="shared" si="4"/>
        <v>533.75</v>
      </c>
      <c r="E65" s="4">
        <f>B65/B63</f>
        <v>0.63636363636363635</v>
      </c>
      <c r="F65" s="4">
        <f>1-(C65/B94)^B95</f>
        <v>0.48208350775289521</v>
      </c>
      <c r="G65">
        <f>B92*B96*F65</f>
        <v>6.4590420633347838</v>
      </c>
      <c r="H65">
        <f t="shared" si="6"/>
        <v>6</v>
      </c>
      <c r="I65">
        <f t="shared" si="7"/>
        <v>4.3340174154875211</v>
      </c>
      <c r="J65">
        <f t="shared" ref="J65:J74" si="10">LN(1-E65)</f>
        <v>-1.0116009116784799</v>
      </c>
      <c r="K65" s="11">
        <f t="shared" si="8"/>
        <v>0.16666666666666666</v>
      </c>
      <c r="L65" s="11">
        <f>EXP(-C89*C65)</f>
        <v>0.1955489701066</v>
      </c>
      <c r="M65">
        <f>C92*C96*L65</f>
        <v>2.2280731139418664</v>
      </c>
      <c r="N65" s="14">
        <f t="shared" si="9"/>
        <v>2</v>
      </c>
      <c r="Q65" s="6"/>
      <c r="R65" s="7"/>
      <c r="S65" s="4"/>
    </row>
    <row r="66" spans="1:19" x14ac:dyDescent="0.2">
      <c r="A66">
        <v>4</v>
      </c>
      <c r="B66" s="13">
        <v>5</v>
      </c>
      <c r="C66">
        <f t="shared" si="5"/>
        <v>106.75</v>
      </c>
      <c r="D66">
        <f t="shared" si="4"/>
        <v>533.75</v>
      </c>
      <c r="E66" s="4">
        <f>B66/B63</f>
        <v>0.45454545454545453</v>
      </c>
      <c r="F66" s="4">
        <f>1-(C66/B94)^B95</f>
        <v>0.42135936534096974</v>
      </c>
      <c r="G66">
        <f>B92*B96*F66</f>
        <v>5.6454490160911908</v>
      </c>
      <c r="H66">
        <f t="shared" si="6"/>
        <v>6</v>
      </c>
      <c r="I66">
        <f t="shared" si="7"/>
        <v>4.670489652108734</v>
      </c>
      <c r="J66">
        <f t="shared" si="10"/>
        <v>-0.6061358035703156</v>
      </c>
      <c r="K66" s="11">
        <f t="shared" si="8"/>
        <v>0.16666666666666666</v>
      </c>
      <c r="L66" s="11">
        <f>EXP(-C89*C66)</f>
        <v>0.10180233660592306</v>
      </c>
      <c r="M66" s="14">
        <f>C92*C96*L66</f>
        <v>1.1599296534493049</v>
      </c>
      <c r="N66" s="14">
        <f t="shared" si="9"/>
        <v>1</v>
      </c>
      <c r="Q66" s="6"/>
      <c r="R66" s="7"/>
      <c r="S66" s="4"/>
    </row>
    <row r="67" spans="1:19" x14ac:dyDescent="0.2">
      <c r="A67">
        <v>5</v>
      </c>
      <c r="B67" s="13">
        <v>4</v>
      </c>
      <c r="C67">
        <f t="shared" si="5"/>
        <v>137.25</v>
      </c>
      <c r="D67">
        <f t="shared" si="4"/>
        <v>549</v>
      </c>
      <c r="E67" s="4">
        <f>B67/B63</f>
        <v>0.36363636363636365</v>
      </c>
      <c r="F67" s="4">
        <f>1-(C67/B94)^B95</f>
        <v>0.37140339499213637</v>
      </c>
      <c r="G67">
        <f>B92*B96*F67</f>
        <v>4.9761298865033519</v>
      </c>
      <c r="H67">
        <f t="shared" si="6"/>
        <v>5</v>
      </c>
      <c r="I67">
        <f t="shared" si="7"/>
        <v>4.9218040803896397</v>
      </c>
      <c r="J67">
        <f t="shared" si="10"/>
        <v>-0.45198512374305727</v>
      </c>
      <c r="K67" s="11">
        <f t="shared" si="8"/>
        <v>0.2</v>
      </c>
      <c r="L67" s="11">
        <f>EXP(-C89*C67)</f>
        <v>5.2998058403355801E-2</v>
      </c>
      <c r="M67" s="14">
        <f>C92*C96*L67</f>
        <v>0.60385666544429628</v>
      </c>
      <c r="N67" s="14">
        <f t="shared" si="9"/>
        <v>1</v>
      </c>
      <c r="Q67" s="6"/>
      <c r="R67" s="7"/>
      <c r="S67" s="4"/>
    </row>
    <row r="68" spans="1:19" x14ac:dyDescent="0.2">
      <c r="A68">
        <v>6</v>
      </c>
      <c r="B68" s="13">
        <v>3</v>
      </c>
      <c r="C68">
        <f t="shared" si="5"/>
        <v>167.75</v>
      </c>
      <c r="D68">
        <f t="shared" si="4"/>
        <v>503.25</v>
      </c>
      <c r="E68" s="4">
        <f>B68/B63</f>
        <v>0.27272727272727271</v>
      </c>
      <c r="F68" s="4">
        <f>1-(C68/B94)^B95</f>
        <v>0.32843506169418968</v>
      </c>
      <c r="G68">
        <f>B92*B96*F68</f>
        <v>4.4004323824412879</v>
      </c>
      <c r="H68">
        <f t="shared" si="6"/>
        <v>4</v>
      </c>
      <c r="I68">
        <f t="shared" si="7"/>
        <v>5.1224747758517912</v>
      </c>
      <c r="J68">
        <f t="shared" si="10"/>
        <v>-0.31845373111853459</v>
      </c>
      <c r="K68" s="11">
        <f t="shared" si="8"/>
        <v>0.25</v>
      </c>
      <c r="L68" s="11">
        <f>EXP(-C89*C68)</f>
        <v>2.7590665285005762E-2</v>
      </c>
      <c r="M68" s="14">
        <f>C92*C96*L68</f>
        <v>0.31436636809582319</v>
      </c>
      <c r="N68" s="14">
        <f t="shared" si="9"/>
        <v>0</v>
      </c>
      <c r="Q68" s="6"/>
      <c r="R68" s="7"/>
      <c r="S68" s="4"/>
    </row>
    <row r="69" spans="1:19" x14ac:dyDescent="0.2">
      <c r="A69">
        <v>7</v>
      </c>
      <c r="B69" s="13">
        <v>2</v>
      </c>
      <c r="C69">
        <f t="shared" si="5"/>
        <v>198.25</v>
      </c>
      <c r="D69">
        <f t="shared" si="4"/>
        <v>396.5</v>
      </c>
      <c r="E69" s="4">
        <f>B69/B63</f>
        <v>0.18181818181818182</v>
      </c>
      <c r="F69" s="4">
        <f>1-(C69/B94)^B95</f>
        <v>0.29043291933562321</v>
      </c>
      <c r="G69">
        <f>B92*B96*F69</f>
        <v>3.8912728031498243</v>
      </c>
      <c r="H69">
        <f t="shared" si="6"/>
        <v>4</v>
      </c>
      <c r="I69">
        <f t="shared" si="7"/>
        <v>5.2895288605149577</v>
      </c>
      <c r="J69">
        <f t="shared" si="10"/>
        <v>-0.20067069546215124</v>
      </c>
      <c r="K69" s="11">
        <f t="shared" si="8"/>
        <v>1</v>
      </c>
      <c r="L69" s="11">
        <f>EXP(-C89*C69)</f>
        <v>1.4363635835025619E-2</v>
      </c>
      <c r="M69" s="14">
        <f>C92*C96*L69</f>
        <v>0.16365839618089795</v>
      </c>
      <c r="N69" s="14">
        <f t="shared" si="9"/>
        <v>0</v>
      </c>
      <c r="Q69" s="6"/>
      <c r="R69" s="7"/>
      <c r="S69" s="4"/>
    </row>
    <row r="70" spans="1:19" x14ac:dyDescent="0.2">
      <c r="A70">
        <v>8</v>
      </c>
      <c r="B70" s="13">
        <v>2</v>
      </c>
      <c r="C70">
        <f t="shared" si="5"/>
        <v>228.75</v>
      </c>
      <c r="D70">
        <f t="shared" si="4"/>
        <v>457.5</v>
      </c>
      <c r="E70" s="4">
        <f>B70/B63</f>
        <v>0.18181818181818182</v>
      </c>
      <c r="F70" s="4">
        <f>1-(C70/B94)^B95</f>
        <v>0.25617427522438563</v>
      </c>
      <c r="G70">
        <f>B92*B96*F70</f>
        <v>3.4322692907112238</v>
      </c>
      <c r="H70">
        <f t="shared" si="6"/>
        <v>3</v>
      </c>
      <c r="I70">
        <f t="shared" si="7"/>
        <v>5.4326297041556311</v>
      </c>
      <c r="J70">
        <f t="shared" si="10"/>
        <v>-0.20067069546215124</v>
      </c>
      <c r="K70" s="11">
        <f t="shared" si="8"/>
        <v>0.33333333333333331</v>
      </c>
      <c r="L70" s="11">
        <f>EXP(-C89*C70)</f>
        <v>7.4776752307366126E-3</v>
      </c>
      <c r="M70" s="14">
        <f>C92*C96*L70</f>
        <v>8.5200178386574732E-2</v>
      </c>
      <c r="N70" s="14">
        <f t="shared" si="9"/>
        <v>0</v>
      </c>
      <c r="Q70" s="6"/>
      <c r="R70" s="7"/>
      <c r="S70" s="4"/>
    </row>
    <row r="71" spans="1:19" ht="12" customHeight="1" x14ac:dyDescent="0.2">
      <c r="A71">
        <v>9</v>
      </c>
      <c r="B71" s="13">
        <v>2</v>
      </c>
      <c r="C71">
        <f t="shared" si="5"/>
        <v>259.25</v>
      </c>
      <c r="D71">
        <f t="shared" si="4"/>
        <v>518.5</v>
      </c>
      <c r="E71" s="4">
        <f>B71/B63</f>
        <v>0.18181818181818182</v>
      </c>
      <c r="F71" s="4">
        <f>1-(C71/B94)^B95</f>
        <v>0.22485661735568685</v>
      </c>
      <c r="G71">
        <f>B92*B96*F71</f>
        <v>3.0126696440816652</v>
      </c>
      <c r="H71">
        <f t="shared" si="6"/>
        <v>3</v>
      </c>
      <c r="I71">
        <f t="shared" si="7"/>
        <v>5.5577928471096367</v>
      </c>
      <c r="J71">
        <f t="shared" si="10"/>
        <v>-0.20067069546215124</v>
      </c>
      <c r="K71" s="11">
        <f t="shared" si="8"/>
        <v>0.33333333333333331</v>
      </c>
      <c r="L71" s="11">
        <f>EXP(-C89*C71)</f>
        <v>3.892860240860602E-3</v>
      </c>
      <c r="M71" s="14">
        <f>C92*C96*L71</f>
        <v>4.4355013653442008E-2</v>
      </c>
      <c r="N71" s="14">
        <f t="shared" si="9"/>
        <v>0</v>
      </c>
      <c r="Q71" s="6"/>
      <c r="R71" s="7"/>
      <c r="S71" s="4"/>
    </row>
    <row r="72" spans="1:19" x14ac:dyDescent="0.2">
      <c r="A72">
        <v>10</v>
      </c>
      <c r="B72" s="13">
        <v>4</v>
      </c>
      <c r="C72">
        <f t="shared" si="5"/>
        <v>289.75</v>
      </c>
      <c r="D72">
        <f t="shared" si="4"/>
        <v>1159</v>
      </c>
      <c r="E72" s="4">
        <f>B72/B63</f>
        <v>0.36363636363636365</v>
      </c>
      <c r="F72" s="4">
        <f>1-(C72/B94)^B95</f>
        <v>0.19592152601607327</v>
      </c>
      <c r="G72">
        <f>B92*B96*F72</f>
        <v>2.6249920549018357</v>
      </c>
      <c r="H72" s="5">
        <f t="shared" si="6"/>
        <v>3</v>
      </c>
      <c r="I72">
        <f t="shared" si="7"/>
        <v>5.6690184822198608</v>
      </c>
      <c r="J72">
        <f t="shared" si="10"/>
        <v>-0.45198512374305727</v>
      </c>
      <c r="K72" s="11">
        <f t="shared" si="8"/>
        <v>0.33333333333333331</v>
      </c>
      <c r="L72" s="11">
        <f>EXP(-C89*C72)</f>
        <v>2.0266139391266992E-3</v>
      </c>
      <c r="M72" s="14">
        <f>C92*C96*L72</f>
        <v>2.3091116397322389E-2</v>
      </c>
      <c r="N72" s="14">
        <f t="shared" si="9"/>
        <v>0</v>
      </c>
      <c r="O72" s="14"/>
      <c r="Q72" s="6"/>
      <c r="R72" s="7"/>
      <c r="S72" s="4"/>
    </row>
    <row r="73" spans="1:19" x14ac:dyDescent="0.2">
      <c r="A73">
        <v>11</v>
      </c>
      <c r="B73" s="13">
        <v>2</v>
      </c>
      <c r="C73">
        <f t="shared" si="5"/>
        <v>320.25</v>
      </c>
      <c r="D73">
        <f t="shared" si="4"/>
        <v>640.5</v>
      </c>
      <c r="E73" s="4">
        <f>B73/B63</f>
        <v>0.18181818181818182</v>
      </c>
      <c r="F73" s="4">
        <f>1-(C73/B94)^B95</f>
        <v>0.16896295850234977</v>
      </c>
      <c r="G73">
        <f>B92*B96*F73</f>
        <v>2.2637962895664159</v>
      </c>
      <c r="H73" s="5">
        <f t="shared" si="6"/>
        <v>2</v>
      </c>
      <c r="I73">
        <f t="shared" si="7"/>
        <v>5.769101940776844</v>
      </c>
      <c r="J73">
        <f t="shared" si="10"/>
        <v>-0.20067069546215124</v>
      </c>
      <c r="K73" s="11">
        <f t="shared" si="8"/>
        <v>0</v>
      </c>
      <c r="L73" s="11">
        <f>EXP(-C89*C73)</f>
        <v>1.0550504780913119E-3</v>
      </c>
      <c r="M73" s="14">
        <f>C92*C96*L73</f>
        <v>1.2021181204919188E-2</v>
      </c>
      <c r="N73" s="14">
        <f t="shared" si="9"/>
        <v>0</v>
      </c>
      <c r="Q73" s="6"/>
      <c r="R73" s="7"/>
      <c r="S73" s="4"/>
    </row>
    <row r="74" spans="1:19" x14ac:dyDescent="0.2">
      <c r="A74">
        <v>12</v>
      </c>
      <c r="B74" s="13">
        <v>1</v>
      </c>
      <c r="C74">
        <f t="shared" si="5"/>
        <v>350.75</v>
      </c>
      <c r="D74">
        <f t="shared" si="4"/>
        <v>350.75</v>
      </c>
      <c r="E74" s="4">
        <f>B74/B63</f>
        <v>9.0909090909090912E-2</v>
      </c>
      <c r="F74" s="4">
        <f>1-(C74/B94)^B95</f>
        <v>0.14367534903331303</v>
      </c>
      <c r="G74">
        <f>B92*B96*F74</f>
        <v>1.9249883224508673</v>
      </c>
      <c r="H74" s="5">
        <f t="shared" si="6"/>
        <v>2</v>
      </c>
      <c r="I74">
        <f t="shared" si="7"/>
        <v>5.8600737189825702</v>
      </c>
      <c r="J74">
        <f t="shared" si="10"/>
        <v>-9.5310179804324893E-2</v>
      </c>
      <c r="K74" s="11">
        <f t="shared" si="8"/>
        <v>0.5</v>
      </c>
      <c r="L74" s="11">
        <f>EXP(-C89*C74)</f>
        <v>5.4925681198086094E-4</v>
      </c>
      <c r="M74" s="14">
        <f>C92*C96*L74</f>
        <v>6.258198827418294E-3</v>
      </c>
      <c r="N74" s="14">
        <f t="shared" si="9"/>
        <v>0</v>
      </c>
      <c r="Q74" s="6"/>
      <c r="R74" s="7"/>
      <c r="S74" s="4"/>
    </row>
    <row r="75" spans="1:19" x14ac:dyDescent="0.2">
      <c r="A75" s="3" t="s">
        <v>0</v>
      </c>
      <c r="B75">
        <f>SUM(B63:B74)</f>
        <v>48</v>
      </c>
      <c r="C75">
        <f>SUM(C63:C74)</f>
        <v>2196</v>
      </c>
      <c r="D75">
        <f>SUM(D63:D74)</f>
        <v>6039</v>
      </c>
      <c r="H75">
        <f>SUM(H63:H74)</f>
        <v>46</v>
      </c>
      <c r="J75" s="5"/>
      <c r="K75">
        <f>SUM(K63:K74)</f>
        <v>4.4083333333333332</v>
      </c>
      <c r="M75" s="2"/>
      <c r="P75" s="4"/>
      <c r="Q75" s="1"/>
    </row>
    <row r="76" spans="1:19" x14ac:dyDescent="0.2">
      <c r="A76" s="3"/>
      <c r="I76" s="5"/>
      <c r="J76" s="5"/>
      <c r="M76" s="14" t="s">
        <v>71</v>
      </c>
      <c r="N76" s="5"/>
      <c r="P76" s="4"/>
      <c r="Q76" s="1"/>
    </row>
    <row r="77" spans="1:19" x14ac:dyDescent="0.2">
      <c r="A77" s="3"/>
      <c r="I77" s="5"/>
      <c r="J77" s="5"/>
      <c r="M77" s="14" t="s">
        <v>72</v>
      </c>
      <c r="N77" s="5"/>
      <c r="P77" s="4"/>
      <c r="Q77" s="1"/>
    </row>
    <row r="78" spans="1:19" x14ac:dyDescent="0.2">
      <c r="A78" s="3"/>
      <c r="I78" s="5"/>
      <c r="J78" s="5"/>
      <c r="M78" s="14" t="s">
        <v>77</v>
      </c>
      <c r="P78" s="4"/>
      <c r="Q78" s="1"/>
    </row>
    <row r="79" spans="1:19" x14ac:dyDescent="0.2">
      <c r="A79" s="3"/>
      <c r="I79" s="5"/>
      <c r="J79" s="5"/>
      <c r="K79" s="5" t="s">
        <v>78</v>
      </c>
      <c r="M79" s="2"/>
      <c r="N79" s="5"/>
      <c r="P79" s="4"/>
      <c r="Q79" s="1"/>
    </row>
    <row r="80" spans="1:19" x14ac:dyDescent="0.2">
      <c r="A80" s="3"/>
      <c r="I80" s="5"/>
      <c r="J80" s="5"/>
      <c r="M80" s="2"/>
      <c r="N80" s="5"/>
      <c r="P80" s="4"/>
      <c r="Q80" s="1"/>
    </row>
    <row r="81" spans="1:18" x14ac:dyDescent="0.2">
      <c r="A81" s="3"/>
      <c r="I81" s="5"/>
      <c r="J81" s="5"/>
      <c r="M81" s="2"/>
      <c r="N81" s="5"/>
      <c r="P81" s="4"/>
      <c r="Q81" s="1"/>
    </row>
    <row r="82" spans="1:18" x14ac:dyDescent="0.2">
      <c r="A82" s="3"/>
      <c r="F82" s="5"/>
      <c r="I82" s="5"/>
      <c r="J82" s="5"/>
      <c r="O82" s="2"/>
      <c r="P82" s="5"/>
      <c r="R82" s="4"/>
    </row>
    <row r="83" spans="1:18" x14ac:dyDescent="0.2">
      <c r="A83" s="3"/>
      <c r="F83" s="5"/>
      <c r="I83" s="5"/>
      <c r="J83" s="5"/>
      <c r="L83" s="5"/>
      <c r="N83" s="5"/>
      <c r="O83" s="5"/>
      <c r="P83" s="8" t="s">
        <v>62</v>
      </c>
    </row>
    <row r="84" spans="1:18" x14ac:dyDescent="0.2">
      <c r="A84" s="3"/>
      <c r="I84" s="5"/>
      <c r="J84" s="5"/>
      <c r="M84" s="2"/>
      <c r="N84" s="5"/>
      <c r="P84" s="4"/>
      <c r="Q84" s="1"/>
    </row>
    <row r="85" spans="1:18" x14ac:dyDescent="0.2">
      <c r="A85" s="3"/>
      <c r="I85" s="5"/>
      <c r="Q85" s="1"/>
    </row>
    <row r="86" spans="1:18" x14ac:dyDescent="0.2">
      <c r="A86" s="3"/>
    </row>
    <row r="87" spans="1:18" x14ac:dyDescent="0.2">
      <c r="A87" s="3"/>
      <c r="J87" s="5"/>
      <c r="M87" s="2"/>
      <c r="N87" s="5"/>
      <c r="P87" s="4"/>
      <c r="Q87" s="1"/>
    </row>
    <row r="88" spans="1:18" x14ac:dyDescent="0.2">
      <c r="A88" s="3"/>
      <c r="B88" s="5" t="s">
        <v>63</v>
      </c>
      <c r="C88" s="5" t="s">
        <v>64</v>
      </c>
      <c r="J88" s="2"/>
      <c r="N88" s="4"/>
      <c r="O88" s="4"/>
      <c r="P88" s="1"/>
    </row>
    <row r="89" spans="1:18" x14ac:dyDescent="0.2">
      <c r="A89" s="3" t="s">
        <v>1</v>
      </c>
      <c r="C89">
        <f>(B75-1)/C75</f>
        <v>2.1402550091074682E-2</v>
      </c>
    </row>
    <row r="90" spans="1:18" x14ac:dyDescent="0.2">
      <c r="A90" s="5" t="s">
        <v>53</v>
      </c>
      <c r="B90">
        <v>198073000</v>
      </c>
      <c r="C90">
        <v>198073000</v>
      </c>
      <c r="K90" s="2"/>
      <c r="N90" s="4"/>
      <c r="O90" s="4"/>
      <c r="P90" s="1"/>
    </row>
    <row r="91" spans="1:18" x14ac:dyDescent="0.2">
      <c r="A91" s="5" t="s">
        <v>54</v>
      </c>
      <c r="B91">
        <v>30.5</v>
      </c>
      <c r="C91">
        <v>30.5</v>
      </c>
      <c r="K91" s="2"/>
      <c r="N91" s="4"/>
      <c r="O91" s="4"/>
      <c r="P91" s="1"/>
    </row>
    <row r="92" spans="1:18" x14ac:dyDescent="0.2">
      <c r="A92" s="5" t="s">
        <v>57</v>
      </c>
      <c r="B92">
        <f>2*B90*B91</f>
        <v>12082453000</v>
      </c>
      <c r="C92">
        <f>2*C90*C91</f>
        <v>12082453000</v>
      </c>
      <c r="K92" s="2"/>
      <c r="N92" s="4"/>
      <c r="O92" s="4"/>
      <c r="P92" s="1"/>
    </row>
    <row r="93" spans="1:18" x14ac:dyDescent="0.2">
      <c r="A93" s="5" t="s">
        <v>55</v>
      </c>
      <c r="B93">
        <f>D75/B75</f>
        <v>125.8125</v>
      </c>
      <c r="C93">
        <f>D75/B75</f>
        <v>125.8125</v>
      </c>
      <c r="J93" s="17"/>
      <c r="K93" s="2"/>
      <c r="N93" s="4"/>
      <c r="O93" s="4"/>
      <c r="P93" s="1"/>
    </row>
    <row r="94" spans="1:18" x14ac:dyDescent="0.2">
      <c r="A94" s="5" t="s">
        <v>56</v>
      </c>
      <c r="B94">
        <f>EXP(2.086/0.3295)</f>
        <v>561.60808493620982</v>
      </c>
      <c r="C94">
        <f>EXP(2.086/0.3295)</f>
        <v>561.60808493620982</v>
      </c>
    </row>
    <row r="95" spans="1:18" x14ac:dyDescent="0.2">
      <c r="A95" s="5" t="s">
        <v>4</v>
      </c>
      <c r="B95">
        <v>0.32950000000000002</v>
      </c>
      <c r="C95">
        <v>0.32950000000000002</v>
      </c>
    </row>
    <row r="96" spans="1:18" x14ac:dyDescent="0.2">
      <c r="A96" s="5" t="s">
        <v>5</v>
      </c>
      <c r="B96">
        <f>B75*(B95+1)^2/(4*B90*B93*B95*(B95+2))</f>
        <v>1.1088957628401063E-9</v>
      </c>
      <c r="C96">
        <f>(B75-1)/(2*B90*B93)</f>
        <v>9.4301541201438098E-10</v>
      </c>
    </row>
    <row r="97" spans="1:6" x14ac:dyDescent="0.2">
      <c r="A97" s="5" t="s">
        <v>6</v>
      </c>
      <c r="B97">
        <f>B96*100*100</f>
        <v>1.1088957628401063E-5</v>
      </c>
      <c r="C97">
        <f>C96*100^2</f>
        <v>9.4301541201438096E-6</v>
      </c>
    </row>
    <row r="98" spans="1:6" x14ac:dyDescent="0.2">
      <c r="A98" s="5" t="s">
        <v>7</v>
      </c>
      <c r="B98">
        <f>B97*1000*1000</f>
        <v>11.088957628401062</v>
      </c>
      <c r="C98">
        <f>C97*1000^2</f>
        <v>9.4301541201438095</v>
      </c>
    </row>
    <row r="103" spans="1:6" x14ac:dyDescent="0.2">
      <c r="F103" s="5" t="s">
        <v>69</v>
      </c>
    </row>
    <row r="104" spans="1:6" x14ac:dyDescent="0.2">
      <c r="F104" s="5" t="s">
        <v>70</v>
      </c>
    </row>
    <row r="107" spans="1:6" x14ac:dyDescent="0.2">
      <c r="A107" s="5" t="s">
        <v>79</v>
      </c>
    </row>
    <row r="108" spans="1:6" x14ac:dyDescent="0.2">
      <c r="A108" s="5" t="s">
        <v>80</v>
      </c>
    </row>
    <row r="109" spans="1:6" x14ac:dyDescent="0.2">
      <c r="A109" s="5" t="s">
        <v>82</v>
      </c>
    </row>
    <row r="110" spans="1:6" x14ac:dyDescent="0.2">
      <c r="A110" s="5" t="s">
        <v>66</v>
      </c>
    </row>
    <row r="111" spans="1:6" x14ac:dyDescent="0.2">
      <c r="A111" s="5" t="s">
        <v>65</v>
      </c>
    </row>
    <row r="112" spans="1:6" x14ac:dyDescent="0.2">
      <c r="A112" s="5"/>
    </row>
    <row r="114" spans="1:1" x14ac:dyDescent="0.2">
      <c r="A114" s="9" t="s">
        <v>47</v>
      </c>
    </row>
    <row r="115" spans="1:1" ht="16" x14ac:dyDescent="0.2">
      <c r="A115" s="10" t="s">
        <v>14</v>
      </c>
    </row>
    <row r="116" spans="1:1" ht="16" x14ac:dyDescent="0.2">
      <c r="A116" s="10" t="s">
        <v>48</v>
      </c>
    </row>
    <row r="117" spans="1:1" ht="18" x14ac:dyDescent="0.2">
      <c r="A117" s="10" t="s">
        <v>49</v>
      </c>
    </row>
  </sheetData>
  <printOptions gridLines="1" gridLinesSet="0"/>
  <pageMargins left="0.78740157499999996" right="0.78740157499999996" top="0.984251969" bottom="0.984251969" header="0.5" footer="0.5"/>
  <pageSetup paperSize="9" orientation="portrait" horizontalDpi="1200" verticalDpi="1200" r:id="rId1"/>
  <headerFooter alignWithMargins="0">
    <oddHeader>&amp;F</oddHeader>
    <oddFooter>Seite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17C9-0179-9640-91EC-6675CD6790B1}">
  <dimension ref="A3:B18"/>
  <sheetViews>
    <sheetView workbookViewId="0">
      <selection activeCell="A18" sqref="A18"/>
    </sheetView>
  </sheetViews>
  <sheetFormatPr baseColWidth="10" defaultColWidth="11.42578125" defaultRowHeight="14" x14ac:dyDescent="0.2"/>
  <sheetData>
    <row r="3" spans="1:2" x14ac:dyDescent="0.2">
      <c r="A3" t="s">
        <v>8</v>
      </c>
      <c r="B3" s="5" t="s">
        <v>9</v>
      </c>
    </row>
    <row r="4" spans="1:2" x14ac:dyDescent="0.2">
      <c r="A4">
        <v>3.8231917917215301</v>
      </c>
      <c r="B4">
        <v>-0.6061358035703156</v>
      </c>
    </row>
    <row r="5" spans="1:2" x14ac:dyDescent="0.2">
      <c r="A5">
        <v>4.3340174154875211</v>
      </c>
      <c r="B5">
        <v>-1.0116009116784799</v>
      </c>
    </row>
    <row r="6" spans="1:2" x14ac:dyDescent="0.2">
      <c r="A6">
        <v>4.670489652108734</v>
      </c>
      <c r="B6">
        <v>-0.6061358035703156</v>
      </c>
    </row>
    <row r="7" spans="1:2" x14ac:dyDescent="0.2">
      <c r="A7">
        <v>4.9218040803896397</v>
      </c>
      <c r="B7">
        <v>-0.45198512374305727</v>
      </c>
    </row>
    <row r="8" spans="1:2" x14ac:dyDescent="0.2">
      <c r="A8">
        <v>5.1224747758517912</v>
      </c>
      <c r="B8">
        <v>-0.31845373111853459</v>
      </c>
    </row>
    <row r="9" spans="1:2" x14ac:dyDescent="0.2">
      <c r="A9">
        <v>5.2895288605149577</v>
      </c>
      <c r="B9">
        <v>-0.20067069546215124</v>
      </c>
    </row>
    <row r="10" spans="1:2" x14ac:dyDescent="0.2">
      <c r="A10">
        <v>5.4326297041556311</v>
      </c>
      <c r="B10">
        <v>-0.20067069546215124</v>
      </c>
    </row>
    <row r="11" spans="1:2" x14ac:dyDescent="0.2">
      <c r="A11">
        <v>5.5577928471096367</v>
      </c>
      <c r="B11">
        <v>-0.20067069546215124</v>
      </c>
    </row>
    <row r="12" spans="1:2" x14ac:dyDescent="0.2">
      <c r="A12">
        <v>5.6690184822198608</v>
      </c>
      <c r="B12">
        <v>-0.45198512374305727</v>
      </c>
    </row>
    <row r="13" spans="1:2" x14ac:dyDescent="0.2">
      <c r="A13">
        <v>5.769101940776844</v>
      </c>
      <c r="B13">
        <v>-0.20067069546215124</v>
      </c>
    </row>
    <row r="14" spans="1:2" x14ac:dyDescent="0.2">
      <c r="A14">
        <v>5.8600737189825702</v>
      </c>
      <c r="B14">
        <v>-9.5310179804324893E-2</v>
      </c>
    </row>
    <row r="17" spans="1:2" x14ac:dyDescent="0.2">
      <c r="A17" s="5" t="s">
        <v>10</v>
      </c>
      <c r="B17" s="5" t="s">
        <v>3</v>
      </c>
    </row>
    <row r="18" spans="1:2" x14ac:dyDescent="0.2">
      <c r="A18">
        <f>2.086/0.3295</f>
        <v>6.3308042488619112</v>
      </c>
      <c r="B18">
        <f>EXP(A18)</f>
        <v>561.60808493620982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Löffelente-Diadat</vt:lpstr>
      <vt:lpstr>Regressionsanalyse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2022-03-01T12:27:58Z</dcterms:created>
  <dcterms:modified xsi:type="dcterms:W3CDTF">2026-02-17T15:31:04Z</dcterms:modified>
</cp:coreProperties>
</file>