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4BF5C452-DD9A-8549-91A6-DA45A7F5A2EE}" xr6:coauthVersionLast="47" xr6:coauthVersionMax="47" xr10:uidLastSave="{00000000-0000-0000-0000-000000000000}"/>
  <bookViews>
    <workbookView xWindow="1760" yWindow="620" windowWidth="23580" windowHeight="13080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72" i="1"/>
  <c r="C34" i="1"/>
  <c r="D30" i="1" s="1"/>
  <c r="D31" i="1"/>
  <c r="D24" i="1" l="1"/>
  <c r="D25" i="1"/>
  <c r="D26" i="1"/>
  <c r="D27" i="1"/>
  <c r="D28" i="1"/>
  <c r="D23" i="1"/>
  <c r="D29" i="1"/>
  <c r="C70" i="1"/>
  <c r="F23" i="1" l="1"/>
  <c r="F24" i="1"/>
  <c r="F25" i="1"/>
  <c r="F26" i="1"/>
  <c r="F27" i="1"/>
  <c r="F28" i="1"/>
  <c r="F29" i="1"/>
  <c r="F30" i="1"/>
  <c r="F31" i="1"/>
  <c r="C33" i="1"/>
  <c r="F53" i="1"/>
  <c r="F54" i="1"/>
  <c r="F55" i="1"/>
  <c r="F56" i="1"/>
  <c r="G56" i="1" s="1"/>
  <c r="F57" i="1"/>
  <c r="F58" i="1"/>
  <c r="G58" i="1" s="1"/>
  <c r="F59" i="1"/>
  <c r="G59" i="1" s="1"/>
  <c r="F60" i="1"/>
  <c r="G60" i="1" s="1"/>
  <c r="F61" i="1"/>
  <c r="G61" i="1" s="1"/>
  <c r="F62" i="1"/>
  <c r="F63" i="1"/>
  <c r="D64" i="1"/>
  <c r="E64" i="1" s="1"/>
  <c r="F64" i="1"/>
  <c r="G64" i="1" s="1"/>
  <c r="D65" i="1"/>
  <c r="F65" i="1"/>
  <c r="F66" i="1"/>
  <c r="D67" i="1"/>
  <c r="F67" i="1"/>
  <c r="C69" i="1"/>
  <c r="D53" i="1"/>
  <c r="G28" i="1" l="1"/>
  <c r="G30" i="1"/>
  <c r="G29" i="1"/>
  <c r="G23" i="1"/>
  <c r="F33" i="1"/>
  <c r="F34" i="1" s="1"/>
  <c r="C41" i="1" s="1"/>
  <c r="G31" i="1"/>
  <c r="F69" i="1"/>
  <c r="F70" i="1"/>
  <c r="G67" i="1"/>
  <c r="G66" i="1"/>
  <c r="E53" i="1"/>
  <c r="E23" i="1"/>
  <c r="E67" i="1"/>
  <c r="G65" i="1"/>
  <c r="D60" i="1"/>
  <c r="G57" i="1"/>
  <c r="G27" i="1"/>
  <c r="G26" i="1"/>
  <c r="D59" i="1"/>
  <c r="D66" i="1"/>
  <c r="E65" i="1"/>
  <c r="G63" i="1"/>
  <c r="D58" i="1"/>
  <c r="G55" i="1"/>
  <c r="G25" i="1"/>
  <c r="G62" i="1"/>
  <c r="D57" i="1"/>
  <c r="G54" i="1"/>
  <c r="G24" i="1"/>
  <c r="D56" i="1"/>
  <c r="G53" i="1"/>
  <c r="D63" i="1"/>
  <c r="D55" i="1"/>
  <c r="D62" i="1"/>
  <c r="D54" i="1"/>
  <c r="D61" i="1"/>
  <c r="G33" i="1" l="1"/>
  <c r="G34" i="1" s="1"/>
  <c r="B40" i="1" s="1"/>
  <c r="H31" i="1"/>
  <c r="I31" i="1" s="1"/>
  <c r="H26" i="1"/>
  <c r="I26" i="1" s="1"/>
  <c r="H29" i="1"/>
  <c r="I29" i="1" s="1"/>
  <c r="H24" i="1"/>
  <c r="I24" i="1" s="1"/>
  <c r="H27" i="1"/>
  <c r="I27" i="1" s="1"/>
  <c r="H25" i="1"/>
  <c r="I25" i="1" s="1"/>
  <c r="H30" i="1"/>
  <c r="I30" i="1" s="1"/>
  <c r="H28" i="1"/>
  <c r="I28" i="1" s="1"/>
  <c r="H23" i="1"/>
  <c r="I23" i="1" s="1"/>
  <c r="H59" i="1"/>
  <c r="I59" i="1" s="1"/>
  <c r="G70" i="1"/>
  <c r="B76" i="1" s="1"/>
  <c r="C77" i="1"/>
  <c r="E31" i="1"/>
  <c r="H60" i="1"/>
  <c r="I60" i="1" s="1"/>
  <c r="H61" i="1"/>
  <c r="I61" i="1" s="1"/>
  <c r="H64" i="1"/>
  <c r="E61" i="1"/>
  <c r="E29" i="1"/>
  <c r="H57" i="1"/>
  <c r="I57" i="1" s="1"/>
  <c r="E60" i="1"/>
  <c r="E57" i="1"/>
  <c r="H66" i="1"/>
  <c r="I66" i="1" s="1"/>
  <c r="E56" i="1"/>
  <c r="H62" i="1"/>
  <c r="I62" i="1" s="1"/>
  <c r="E54" i="1"/>
  <c r="E28" i="1"/>
  <c r="E66" i="1"/>
  <c r="H58" i="1"/>
  <c r="I58" i="1" s="1"/>
  <c r="E27" i="1"/>
  <c r="H54" i="1"/>
  <c r="I54" i="1" s="1"/>
  <c r="E62" i="1"/>
  <c r="E26" i="1"/>
  <c r="H53" i="1"/>
  <c r="E59" i="1"/>
  <c r="H65" i="1"/>
  <c r="G69" i="1"/>
  <c r="E63" i="1"/>
  <c r="E24" i="1"/>
  <c r="H67" i="1"/>
  <c r="H56" i="1"/>
  <c r="I56" i="1" s="1"/>
  <c r="H55" i="1"/>
  <c r="I55" i="1" s="1"/>
  <c r="E25" i="1"/>
  <c r="E55" i="1"/>
  <c r="E58" i="1"/>
  <c r="H63" i="1"/>
  <c r="I63" i="1" s="1"/>
  <c r="E30" i="1"/>
  <c r="J23" i="1" l="1"/>
  <c r="E33" i="1"/>
  <c r="J60" i="1"/>
  <c r="I33" i="1"/>
  <c r="I34" i="1" s="1"/>
  <c r="B41" i="1" s="1"/>
  <c r="A48" i="1" s="1"/>
  <c r="J29" i="1"/>
  <c r="J28" i="1"/>
  <c r="J31" i="1"/>
  <c r="J24" i="1"/>
  <c r="J26" i="1"/>
  <c r="J25" i="1"/>
  <c r="J30" i="1"/>
  <c r="J27" i="1"/>
  <c r="J59" i="1"/>
  <c r="J66" i="1"/>
  <c r="I53" i="1"/>
  <c r="J53" i="1"/>
  <c r="J63" i="1"/>
  <c r="J58" i="1"/>
  <c r="E69" i="1"/>
  <c r="E70" i="1" s="1"/>
  <c r="J62" i="1"/>
  <c r="J56" i="1"/>
  <c r="J55" i="1"/>
  <c r="J61" i="1"/>
  <c r="I67" i="1"/>
  <c r="J67" i="1"/>
  <c r="I65" i="1"/>
  <c r="J65" i="1"/>
  <c r="J54" i="1"/>
  <c r="J57" i="1"/>
  <c r="I64" i="1"/>
  <c r="J64" i="1"/>
  <c r="F41" i="1" l="1"/>
  <c r="E41" i="1"/>
  <c r="J33" i="1"/>
  <c r="I69" i="1"/>
  <c r="J69" i="1"/>
  <c r="D42" i="1" l="1"/>
  <c r="C42" i="1" s="1"/>
  <c r="J34" i="1"/>
  <c r="D78" i="1"/>
  <c r="C78" i="1" s="1"/>
  <c r="J70" i="1"/>
  <c r="I70" i="1"/>
  <c r="B77" i="1" s="1"/>
  <c r="A84" i="1" s="1"/>
  <c r="K29" i="1" l="1"/>
  <c r="K28" i="1"/>
  <c r="K26" i="1"/>
  <c r="K24" i="1"/>
  <c r="K27" i="1"/>
  <c r="K31" i="1"/>
  <c r="K25" i="1"/>
  <c r="K23" i="1"/>
  <c r="K30" i="1"/>
  <c r="F77" i="1"/>
  <c r="E77" i="1"/>
  <c r="K57" i="1"/>
  <c r="K64" i="1"/>
  <c r="K58" i="1"/>
  <c r="K63" i="1"/>
  <c r="K59" i="1"/>
  <c r="K66" i="1"/>
  <c r="K56" i="1"/>
  <c r="K53" i="1"/>
  <c r="K61" i="1"/>
  <c r="K62" i="1"/>
  <c r="K55" i="1"/>
  <c r="K65" i="1"/>
  <c r="K54" i="1"/>
  <c r="K67" i="1"/>
  <c r="K60" i="1"/>
  <c r="K33" i="1" l="1"/>
  <c r="K34" i="1" s="1"/>
  <c r="B42" i="1" s="1"/>
  <c r="K69" i="1"/>
  <c r="K70" i="1" s="1"/>
  <c r="B78" i="1" s="1"/>
</calcChain>
</file>

<file path=xl/sharedStrings.xml><?xml version="1.0" encoding="utf-8"?>
<sst xmlns="http://schemas.openxmlformats.org/spreadsheetml/2006/main" count="91" uniqueCount="57">
  <si>
    <t>yt</t>
  </si>
  <si>
    <t>yt-Quadrat</t>
  </si>
  <si>
    <t>y-yquer-Quadr</t>
  </si>
  <si>
    <t>b</t>
  </si>
  <si>
    <t>a</t>
  </si>
  <si>
    <t>Nt-1</t>
  </si>
  <si>
    <t>t-1</t>
  </si>
  <si>
    <t>Summe</t>
  </si>
  <si>
    <t>Mittelwert</t>
  </si>
  <si>
    <t>Exponentiell</t>
  </si>
  <si>
    <t>q</t>
  </si>
  <si>
    <t>r</t>
  </si>
  <si>
    <t>T</t>
  </si>
  <si>
    <t>N(t-1)-N-quer</t>
  </si>
  <si>
    <t>Jahr</t>
  </si>
  <si>
    <t>Sigma</t>
  </si>
  <si>
    <t>Stochstik</t>
  </si>
  <si>
    <t>Dichtereguliert</t>
  </si>
  <si>
    <t>(Nt-1-Nquer)(yt-yquer)</t>
  </si>
  <si>
    <t>tq</t>
  </si>
  <si>
    <t>Test zufällige Schwankung versus exponentielles Wachstum</t>
  </si>
  <si>
    <t>t</t>
  </si>
  <si>
    <t>Laufparameter für die Jahre</t>
  </si>
  <si>
    <t>In diesem Beispiel werden wir wieder über mehrere Zwischenschritte die Schätzung der Populationsgröße vornehmen.</t>
  </si>
  <si>
    <t>Anzahl der Grizzlybär-Weibchen mit Jungen im Jahr t-1</t>
  </si>
  <si>
    <t xml:space="preserve">logarithmische Differenz aufeinanderfolgender Populationsgrößen </t>
  </si>
  <si>
    <t>Anzahl der Zeitintervalle</t>
  </si>
  <si>
    <t>Z</t>
  </si>
  <si>
    <t>Trend der Wachstumsrate</t>
  </si>
  <si>
    <t>Parameter der Dichteregulation</t>
  </si>
  <si>
    <t>normalverteilte Zufallsvariable mit Mittelwert 0 und Varianz 1</t>
  </si>
  <si>
    <t>Stärke der zufälligen Schwankungen der Wachstumsrate</t>
  </si>
  <si>
    <t>yt-y-quer</t>
  </si>
  <si>
    <t>Berechnung der Wachstumsparameter</t>
  </si>
  <si>
    <t>(yt-yquer)^2</t>
  </si>
  <si>
    <t>(yt-a-bNt-1)^2</t>
  </si>
  <si>
    <t>Var(R )</t>
  </si>
  <si>
    <t>Wachstumsrate</t>
  </si>
  <si>
    <t>Var( r )</t>
  </si>
  <si>
    <t>Sigma^2</t>
  </si>
  <si>
    <t>Laufparameter für die letzte berücksichtigte Erfassung (meist q+1)</t>
  </si>
  <si>
    <t>[N(t-1)-Nquer]^2</t>
  </si>
  <si>
    <t>Monitoringphase nach dem Schließen der Müllplätze</t>
  </si>
  <si>
    <t>Der T-Wert ist negativ, da die Population abgenommen hat. Er hat q-1 Freiheitsgrade</t>
  </si>
  <si>
    <r>
      <rPr>
        <sz val="9"/>
        <rFont val="Symbol"/>
        <charset val="2"/>
      </rPr>
      <t>a</t>
    </r>
    <r>
      <rPr>
        <sz val="9"/>
        <rFont val="Geneva"/>
        <family val="2"/>
      </rPr>
      <t xml:space="preserve"> &gt; 0,77</t>
    </r>
  </si>
  <si>
    <t>Trend ist nicht signifikant</t>
  </si>
  <si>
    <r>
      <rPr>
        <sz val="9"/>
        <rFont val="Symbol"/>
        <charset val="2"/>
      </rPr>
      <t>a</t>
    </r>
    <r>
      <rPr>
        <sz val="9"/>
        <rFont val="Geneva"/>
        <family val="2"/>
      </rPr>
      <t xml:space="preserve"> &gt; 0,5</t>
    </r>
  </si>
  <si>
    <t>Der T-Wert hat q-1 Freiheitsgrade</t>
  </si>
  <si>
    <t>Rote Zahlen</t>
  </si>
  <si>
    <r>
      <t>Für die Spaltensumme bzw. die Berechnung des Mittelwertes darf der letzte Erfassungswert nicht berücksichtigt werden, der Wert wird jedoch zur Berechnung von y</t>
    </r>
    <r>
      <rPr>
        <vertAlign val="subscript"/>
        <sz val="11"/>
        <rFont val="Calibri"/>
        <family val="2"/>
      </rPr>
      <t>q</t>
    </r>
    <r>
      <rPr>
        <sz val="11"/>
        <rFont val="Calibri"/>
        <family val="2"/>
      </rPr>
      <t xml:space="preserve"> benötigt.</t>
    </r>
  </si>
  <si>
    <t>Testwert der Student t-Verteilung</t>
  </si>
  <si>
    <t>Dennis, B., Munholland, P.L., Scott, J.M. (1991): Estimation of growth and extinction parameters for endangered species. – Ecological Monographs 61(2): 115–143</t>
  </si>
  <si>
    <t>Eberhardt, L.L., Knight, R.R., Blanchard, B.M. (1986): Monitoring grizzly bear population trends. – The Journal of Wildlife Management 50(4): 613–618</t>
  </si>
  <si>
    <t>Datenquelle</t>
  </si>
  <si>
    <t>Parameterdefinitionen</t>
  </si>
  <si>
    <t>Berechnung der Schätzwerte - Zwischenschritte</t>
  </si>
  <si>
    <t>Tab. 8.5., Beispiel 8.6  Wachstumsanalyse für eine Grizzlybären-Population im Yellowstone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</si>
</sst>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;[Red]0.000"/>
    <numFmt numFmtId="166" formatCode="0.00000"/>
    <numFmt numFmtId="167" formatCode="0.0000"/>
  </numFmts>
  <fonts count="9" x14ac:knownFonts="1">
    <font>
      <sz val="9"/>
      <name val="Geneva"/>
    </font>
    <font>
      <sz val="9"/>
      <name val="Geneva"/>
      <family val="2"/>
    </font>
    <font>
      <b/>
      <sz val="9"/>
      <name val="Geneva"/>
      <family val="2"/>
    </font>
    <font>
      <sz val="11"/>
      <name val="Calibri"/>
      <family val="2"/>
    </font>
    <font>
      <sz val="9"/>
      <name val="Symbol"/>
      <charset val="2"/>
    </font>
    <font>
      <sz val="9"/>
      <name val="Geneva"/>
      <family val="2"/>
      <charset val="2"/>
    </font>
    <font>
      <sz val="9"/>
      <color rgb="FFFF0000"/>
      <name val="Geneva"/>
      <family val="2"/>
    </font>
    <font>
      <vertAlign val="subscript"/>
      <sz val="11"/>
      <name val="Calibri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2" fontId="0" fillId="0" borderId="0" xfId="0" applyNumberFormat="1"/>
    <xf numFmtId="166" fontId="0" fillId="0" borderId="0" xfId="0" applyNumberFormat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/>
    <xf numFmtId="167" fontId="1" fillId="0" borderId="0" xfId="0" applyNumberFormat="1" applyFont="1"/>
    <xf numFmtId="165" fontId="1" fillId="0" borderId="0" xfId="0" applyNumberFormat="1" applyFont="1"/>
    <xf numFmtId="0" fontId="5" fillId="0" borderId="0" xfId="0" applyFont="1"/>
    <xf numFmtId="0" fontId="6" fillId="0" borderId="0" xfId="0" applyFont="1"/>
    <xf numFmtId="0" fontId="8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zoomScale="135" zoomScaleNormal="120" workbookViewId="0">
      <selection activeCell="A2" sqref="A2"/>
    </sheetView>
  </sheetViews>
  <sheetFormatPr baseColWidth="10" defaultRowHeight="13" x14ac:dyDescent="0.2"/>
  <cols>
    <col min="5" max="5" width="17" customWidth="1"/>
    <col min="10" max="10" width="19.5" customWidth="1"/>
    <col min="11" max="11" width="13.83203125" customWidth="1"/>
    <col min="12" max="12" width="12" bestFit="1" customWidth="1"/>
  </cols>
  <sheetData>
    <row r="1" spans="1:2" x14ac:dyDescent="0.2">
      <c r="A1" s="8" t="s">
        <v>56</v>
      </c>
    </row>
    <row r="2" spans="1:2" x14ac:dyDescent="0.2">
      <c r="A2" s="7" t="s">
        <v>53</v>
      </c>
      <c r="B2" s="7" t="s">
        <v>51</v>
      </c>
    </row>
    <row r="3" spans="1:2" x14ac:dyDescent="0.2">
      <c r="A3" s="8"/>
      <c r="B3" s="7" t="s">
        <v>52</v>
      </c>
    </row>
    <row r="4" spans="1:2" ht="16" x14ac:dyDescent="0.2">
      <c r="A4" s="8"/>
      <c r="B4" s="14"/>
    </row>
    <row r="5" spans="1:2" x14ac:dyDescent="0.2">
      <c r="A5" s="7" t="s">
        <v>23</v>
      </c>
    </row>
    <row r="6" spans="1:2" x14ac:dyDescent="0.2">
      <c r="A6" s="7"/>
    </row>
    <row r="7" spans="1:2" x14ac:dyDescent="0.2">
      <c r="A7" s="8" t="s">
        <v>54</v>
      </c>
    </row>
    <row r="8" spans="1:2" x14ac:dyDescent="0.2">
      <c r="A8" s="7" t="s">
        <v>21</v>
      </c>
      <c r="B8" s="7" t="s">
        <v>22</v>
      </c>
    </row>
    <row r="9" spans="1:2" x14ac:dyDescent="0.2">
      <c r="A9" s="7" t="s">
        <v>5</v>
      </c>
      <c r="B9" s="7" t="s">
        <v>24</v>
      </c>
    </row>
    <row r="10" spans="1:2" ht="15" x14ac:dyDescent="0.2">
      <c r="A10" s="7" t="s">
        <v>0</v>
      </c>
      <c r="B10" s="9" t="s">
        <v>25</v>
      </c>
    </row>
    <row r="11" spans="1:2" ht="15" x14ac:dyDescent="0.2">
      <c r="A11" s="7" t="s">
        <v>10</v>
      </c>
      <c r="B11" s="9" t="s">
        <v>26</v>
      </c>
    </row>
    <row r="12" spans="1:2" ht="15" x14ac:dyDescent="0.2">
      <c r="A12" s="7" t="s">
        <v>19</v>
      </c>
      <c r="B12" s="9" t="s">
        <v>40</v>
      </c>
    </row>
    <row r="13" spans="1:2" ht="15" x14ac:dyDescent="0.2">
      <c r="A13" s="7" t="s">
        <v>4</v>
      </c>
      <c r="B13" s="9" t="s">
        <v>28</v>
      </c>
    </row>
    <row r="14" spans="1:2" ht="15" x14ac:dyDescent="0.2">
      <c r="A14" s="7" t="s">
        <v>3</v>
      </c>
      <c r="B14" s="9" t="s">
        <v>29</v>
      </c>
    </row>
    <row r="15" spans="1:2" ht="15" x14ac:dyDescent="0.2">
      <c r="A15" s="7" t="s">
        <v>27</v>
      </c>
      <c r="B15" s="9" t="s">
        <v>30</v>
      </c>
    </row>
    <row r="16" spans="1:2" ht="15" x14ac:dyDescent="0.2">
      <c r="A16" s="7" t="s">
        <v>39</v>
      </c>
      <c r="B16" s="9" t="s">
        <v>31</v>
      </c>
    </row>
    <row r="17" spans="1:12" ht="15" x14ac:dyDescent="0.2">
      <c r="A17" s="7" t="s">
        <v>12</v>
      </c>
      <c r="B17" s="9" t="s">
        <v>50</v>
      </c>
    </row>
    <row r="18" spans="1:12" ht="15" x14ac:dyDescent="0.2">
      <c r="A18" s="7" t="s">
        <v>11</v>
      </c>
      <c r="B18" s="9" t="s">
        <v>37</v>
      </c>
    </row>
    <row r="19" spans="1:12" ht="17" x14ac:dyDescent="0.25">
      <c r="A19" s="13" t="s">
        <v>48</v>
      </c>
      <c r="B19" s="9" t="s">
        <v>49</v>
      </c>
    </row>
    <row r="20" spans="1:12" ht="15" x14ac:dyDescent="0.2">
      <c r="A20" s="13"/>
      <c r="B20" s="9"/>
    </row>
    <row r="21" spans="1:12" x14ac:dyDescent="0.2">
      <c r="A21" s="8" t="s">
        <v>55</v>
      </c>
      <c r="L21" s="7"/>
    </row>
    <row r="22" spans="1:12" x14ac:dyDescent="0.2">
      <c r="A22" t="s">
        <v>14</v>
      </c>
      <c r="B22" t="s">
        <v>6</v>
      </c>
      <c r="C22" t="s">
        <v>5</v>
      </c>
      <c r="D22" t="s">
        <v>13</v>
      </c>
      <c r="E22" s="7" t="s">
        <v>41</v>
      </c>
      <c r="F22" t="s">
        <v>0</v>
      </c>
      <c r="G22" t="s">
        <v>1</v>
      </c>
      <c r="H22" s="7" t="s">
        <v>32</v>
      </c>
      <c r="I22" s="7" t="s">
        <v>34</v>
      </c>
      <c r="J22" s="7" t="s">
        <v>18</v>
      </c>
      <c r="K22" s="7" t="s">
        <v>35</v>
      </c>
      <c r="L22" s="7"/>
    </row>
    <row r="23" spans="1:12" x14ac:dyDescent="0.2">
      <c r="A23">
        <v>1959</v>
      </c>
      <c r="B23">
        <v>0</v>
      </c>
      <c r="C23">
        <v>44</v>
      </c>
      <c r="D23" s="1">
        <f>C23-C34</f>
        <v>-0.11111111111111427</v>
      </c>
      <c r="E23" s="1">
        <f t="shared" ref="E23:E31" si="0">D23^2</f>
        <v>1.2345679012346381E-2</v>
      </c>
      <c r="F23" s="1">
        <f t="shared" ref="F23:F31" si="1">LN(C24)-LN(C23)</f>
        <v>6.5957967791797412E-2</v>
      </c>
      <c r="G23" s="2">
        <f>F23^2</f>
        <v>4.3504535152237844E-3</v>
      </c>
      <c r="H23" s="1">
        <f>F23-F34</f>
        <v>7.9361077546087941E-2</v>
      </c>
      <c r="I23" s="1">
        <f>H23^2</f>
        <v>6.2981806292761837E-3</v>
      </c>
      <c r="J23" s="1">
        <f t="shared" ref="J23:J31" si="2">D23*H23</f>
        <v>-8.8178975051211323E-3</v>
      </c>
      <c r="K23" s="3">
        <f>(F23-C42-D42*C23)^2</f>
        <v>6.301022296644497E-3</v>
      </c>
      <c r="L23" s="1"/>
    </row>
    <row r="24" spans="1:12" x14ac:dyDescent="0.2">
      <c r="A24">
        <v>1960</v>
      </c>
      <c r="B24">
        <v>1</v>
      </c>
      <c r="C24">
        <v>47</v>
      </c>
      <c r="D24" s="1">
        <f>C24-C34</f>
        <v>2.8888888888888857</v>
      </c>
      <c r="E24" s="1">
        <f t="shared" si="0"/>
        <v>8.345679012345661</v>
      </c>
      <c r="F24" s="1">
        <f t="shared" si="1"/>
        <v>-2.1506205220963359E-2</v>
      </c>
      <c r="G24" s="2">
        <f t="shared" ref="G24:G31" si="3">F24^2</f>
        <v>4.6251686300619163E-4</v>
      </c>
      <c r="H24" s="1">
        <f>F24-F34</f>
        <v>-8.1030954666728352E-3</v>
      </c>
      <c r="I24" s="1">
        <f t="shared" ref="I24:I31" si="4">H24^2</f>
        <v>6.5660156142013847E-5</v>
      </c>
      <c r="J24" s="1">
        <f t="shared" si="2"/>
        <v>-2.3408942459277052E-2</v>
      </c>
      <c r="K24" s="3">
        <f>(F24-C42-D42*C24)^2</f>
        <v>7.3419733076737249E-5</v>
      </c>
    </row>
    <row r="25" spans="1:12" x14ac:dyDescent="0.2">
      <c r="A25">
        <v>1961</v>
      </c>
      <c r="B25">
        <v>2</v>
      </c>
      <c r="C25">
        <v>46</v>
      </c>
      <c r="D25" s="1">
        <f>C25-C34</f>
        <v>1.8888888888888857</v>
      </c>
      <c r="E25" s="1">
        <f t="shared" si="0"/>
        <v>3.5679012345678891</v>
      </c>
      <c r="F25" s="1">
        <f t="shared" si="1"/>
        <v>-4.4451762570834052E-2</v>
      </c>
      <c r="G25" s="2">
        <f t="shared" si="3"/>
        <v>1.9759591956538033E-3</v>
      </c>
      <c r="H25" s="1">
        <f>F25-F34</f>
        <v>-3.104865281654353E-2</v>
      </c>
      <c r="I25" s="1">
        <f t="shared" si="4"/>
        <v>9.6401884172225654E-4</v>
      </c>
      <c r="J25" s="1">
        <f t="shared" si="2"/>
        <v>-5.8647455320137681E-2</v>
      </c>
      <c r="K25" s="3">
        <f>(F25-C42-D42*C25)^2</f>
        <v>9.8300913010091091E-4</v>
      </c>
    </row>
    <row r="26" spans="1:12" x14ac:dyDescent="0.2">
      <c r="A26">
        <v>1962</v>
      </c>
      <c r="B26">
        <v>3</v>
      </c>
      <c r="C26">
        <v>44</v>
      </c>
      <c r="D26" s="1">
        <f>C26-C34</f>
        <v>-0.11111111111111427</v>
      </c>
      <c r="E26" s="1">
        <f t="shared" si="0"/>
        <v>1.2345679012346381E-2</v>
      </c>
      <c r="F26" s="1">
        <f t="shared" si="1"/>
        <v>4.4451762570834052E-2</v>
      </c>
      <c r="G26" s="2">
        <f t="shared" si="3"/>
        <v>1.9759591956538033E-3</v>
      </c>
      <c r="H26" s="1">
        <f>F26-F34</f>
        <v>5.7854872325124575E-2</v>
      </c>
      <c r="I26" s="1">
        <f t="shared" si="4"/>
        <v>3.3471862517564653E-3</v>
      </c>
      <c r="J26" s="1">
        <f t="shared" si="2"/>
        <v>-6.4283191472362467E-3</v>
      </c>
      <c r="K26" s="3">
        <f>(F26-C42-D42*C26)^2</f>
        <v>3.3492579372695671E-3</v>
      </c>
    </row>
    <row r="27" spans="1:12" x14ac:dyDescent="0.2">
      <c r="A27">
        <v>1963</v>
      </c>
      <c r="B27">
        <v>4</v>
      </c>
      <c r="C27">
        <v>46</v>
      </c>
      <c r="D27" s="1">
        <f>C27-C34</f>
        <v>1.8888888888888857</v>
      </c>
      <c r="E27" s="1">
        <f t="shared" si="0"/>
        <v>3.5679012345678891</v>
      </c>
      <c r="F27" s="1">
        <f t="shared" si="1"/>
        <v>-2.1978906718775448E-2</v>
      </c>
      <c r="G27" s="2">
        <f t="shared" si="3"/>
        <v>4.8307234055263256E-4</v>
      </c>
      <c r="H27" s="1">
        <f>F27-F34</f>
        <v>-8.5757969644849243E-3</v>
      </c>
      <c r="I27" s="1">
        <f t="shared" si="4"/>
        <v>7.3544293576068836E-5</v>
      </c>
      <c r="J27" s="1">
        <f t="shared" si="2"/>
        <v>-1.6198727599582609E-2</v>
      </c>
      <c r="K27" s="3">
        <f>(F27-C42-D42*C27)^2</f>
        <v>7.8856541218425753E-5</v>
      </c>
    </row>
    <row r="28" spans="1:12" x14ac:dyDescent="0.2">
      <c r="A28">
        <v>1964</v>
      </c>
      <c r="B28">
        <v>5</v>
      </c>
      <c r="C28">
        <v>45</v>
      </c>
      <c r="D28" s="1">
        <f>C28-C34</f>
        <v>0.88888888888888573</v>
      </c>
      <c r="E28" s="1">
        <f t="shared" si="0"/>
        <v>0.79012345679011786</v>
      </c>
      <c r="F28" s="1">
        <f t="shared" si="1"/>
        <v>2.1978906718775448E-2</v>
      </c>
      <c r="G28" s="2">
        <f t="shared" si="3"/>
        <v>4.8307234055263256E-4</v>
      </c>
      <c r="H28" s="1">
        <f>F28-F34</f>
        <v>3.5382016473065971E-2</v>
      </c>
      <c r="I28" s="1">
        <f t="shared" si="4"/>
        <v>1.2518870897003118E-3</v>
      </c>
      <c r="J28" s="1">
        <f t="shared" si="2"/>
        <v>3.1450681309391861E-2</v>
      </c>
      <c r="K28" s="3">
        <f>(F28-C42-D42*C28)^2</f>
        <v>1.2417734037461414E-3</v>
      </c>
    </row>
    <row r="29" spans="1:12" x14ac:dyDescent="0.2">
      <c r="A29">
        <v>1965</v>
      </c>
      <c r="B29">
        <v>6</v>
      </c>
      <c r="C29">
        <v>46</v>
      </c>
      <c r="D29" s="1">
        <f>C29-C34</f>
        <v>1.8888888888888857</v>
      </c>
      <c r="E29" s="1">
        <f t="shared" si="0"/>
        <v>3.5679012345678891</v>
      </c>
      <c r="F29" s="1">
        <f t="shared" si="1"/>
        <v>-0.13976194237515882</v>
      </c>
      <c r="G29" s="2">
        <f t="shared" si="3"/>
        <v>1.9533400536477216E-2</v>
      </c>
      <c r="H29" s="1">
        <f>F29-F34</f>
        <v>-0.12635883262086831</v>
      </c>
      <c r="I29" s="1">
        <f t="shared" si="4"/>
        <v>1.5966554581308613E-2</v>
      </c>
      <c r="J29" s="1">
        <f t="shared" si="2"/>
        <v>-0.23867779495052863</v>
      </c>
      <c r="K29" s="3">
        <f>(F29-C42-D42*C29)^2</f>
        <v>1.6043555143527382E-2</v>
      </c>
    </row>
    <row r="30" spans="1:12" x14ac:dyDescent="0.2">
      <c r="A30">
        <v>1966</v>
      </c>
      <c r="B30">
        <v>7</v>
      </c>
      <c r="C30">
        <v>40</v>
      </c>
      <c r="D30" s="1">
        <f>C30-C34</f>
        <v>-4.1111111111111143</v>
      </c>
      <c r="E30" s="1">
        <f t="shared" si="0"/>
        <v>16.901234567901259</v>
      </c>
      <c r="F30" s="1">
        <f t="shared" si="1"/>
        <v>-2.5317807984289953E-2</v>
      </c>
      <c r="G30" s="2">
        <f t="shared" si="3"/>
        <v>6.4099140112937607E-4</v>
      </c>
      <c r="H30" s="1">
        <f>F30-F34</f>
        <v>-1.1914698229999429E-2</v>
      </c>
      <c r="I30" s="1">
        <f t="shared" si="4"/>
        <v>1.4196003391195151E-4</v>
      </c>
      <c r="J30" s="1">
        <f t="shared" si="2"/>
        <v>4.8982648278886577E-2</v>
      </c>
      <c r="K30" s="3">
        <f>(F30-C42-D42*C30)^2</f>
        <v>1.2661531003579633E-4</v>
      </c>
    </row>
    <row r="31" spans="1:12" x14ac:dyDescent="0.2">
      <c r="A31">
        <v>1967</v>
      </c>
      <c r="B31">
        <v>8</v>
      </c>
      <c r="C31">
        <v>39</v>
      </c>
      <c r="D31" s="1">
        <f>C31-B34</f>
        <v>39</v>
      </c>
      <c r="E31" s="1">
        <f t="shared" si="0"/>
        <v>1521</v>
      </c>
      <c r="F31" s="1">
        <f t="shared" si="1"/>
        <v>0</v>
      </c>
      <c r="G31" s="2">
        <f t="shared" si="3"/>
        <v>0</v>
      </c>
      <c r="H31" s="1">
        <f>F31-F34</f>
        <v>1.3403109754290524E-2</v>
      </c>
      <c r="I31" s="1">
        <f t="shared" si="4"/>
        <v>1.7964335108555779E-4</v>
      </c>
      <c r="J31" s="1">
        <f t="shared" si="2"/>
        <v>0.52272128041733046</v>
      </c>
      <c r="K31" s="3">
        <f>(F31-C42-D42*C31)^2</f>
        <v>2.0239539667674729E-4</v>
      </c>
    </row>
    <row r="32" spans="1:12" x14ac:dyDescent="0.2">
      <c r="A32">
        <v>1968</v>
      </c>
      <c r="B32">
        <v>9</v>
      </c>
      <c r="C32" s="13">
        <v>39</v>
      </c>
      <c r="D32" s="1"/>
      <c r="E32" s="1"/>
      <c r="F32" s="1"/>
      <c r="G32" s="2"/>
      <c r="H32" s="1"/>
      <c r="I32" s="1"/>
      <c r="J32" s="1"/>
      <c r="K32" s="3"/>
    </row>
    <row r="33" spans="1:11" x14ac:dyDescent="0.2">
      <c r="A33" t="s">
        <v>7</v>
      </c>
      <c r="C33">
        <f>SUM(C23:C31)</f>
        <v>397</v>
      </c>
      <c r="D33" s="2"/>
      <c r="E33">
        <f>SUM(E23:E31)</f>
        <v>1557.7654320987654</v>
      </c>
      <c r="F33">
        <f>SUM(F23:F31)</f>
        <v>-0.12062798778861472</v>
      </c>
      <c r="G33">
        <f>SUM(G23:G31)</f>
        <v>2.9905425388249439E-2</v>
      </c>
      <c r="H33" s="1"/>
      <c r="I33">
        <f>SUM(I23:I31)</f>
        <v>2.8288635228479422E-2</v>
      </c>
      <c r="J33">
        <f>SUM(J23:J31)</f>
        <v>0.25097547302372553</v>
      </c>
      <c r="K33">
        <f>SUM(K23:K31)</f>
        <v>2.8399904892296206E-2</v>
      </c>
    </row>
    <row r="34" spans="1:11" x14ac:dyDescent="0.2">
      <c r="A34" t="s">
        <v>8</v>
      </c>
      <c r="C34" s="2">
        <f>SUM(C23:C31)/B35</f>
        <v>44.111111111111114</v>
      </c>
      <c r="F34" s="3">
        <f>F33/B35</f>
        <v>-1.3403109754290524E-2</v>
      </c>
      <c r="G34" s="3">
        <f>G33/B35</f>
        <v>3.3228250431388264E-3</v>
      </c>
      <c r="I34">
        <f>I33/B35</f>
        <v>3.143181692053269E-3</v>
      </c>
      <c r="J34">
        <f>J33/B35</f>
        <v>2.7886163669302837E-2</v>
      </c>
      <c r="K34" s="5">
        <f>K33/B35</f>
        <v>3.1555449880329117E-3</v>
      </c>
    </row>
    <row r="35" spans="1:11" x14ac:dyDescent="0.2">
      <c r="A35" t="s">
        <v>10</v>
      </c>
      <c r="B35">
        <v>9</v>
      </c>
      <c r="C35" s="2"/>
      <c r="F35" s="3"/>
      <c r="G35" s="3"/>
    </row>
    <row r="36" spans="1:11" x14ac:dyDescent="0.2">
      <c r="A36" t="s">
        <v>19</v>
      </c>
      <c r="B36">
        <f>B35+1</f>
        <v>10</v>
      </c>
      <c r="C36" s="2"/>
      <c r="F36" s="3"/>
      <c r="G36" s="3"/>
    </row>
    <row r="37" spans="1:11" x14ac:dyDescent="0.2">
      <c r="C37" s="2"/>
      <c r="F37" s="3"/>
      <c r="G37" s="3"/>
    </row>
    <row r="38" spans="1:11" x14ac:dyDescent="0.2">
      <c r="A38" s="8" t="s">
        <v>33</v>
      </c>
      <c r="C38" s="2"/>
      <c r="F38" s="3"/>
      <c r="G38" s="3"/>
    </row>
    <row r="39" spans="1:11" x14ac:dyDescent="0.2">
      <c r="B39" s="7" t="s">
        <v>39</v>
      </c>
      <c r="C39" s="2" t="s">
        <v>4</v>
      </c>
      <c r="D39" t="s">
        <v>3</v>
      </c>
      <c r="E39" s="7" t="s">
        <v>11</v>
      </c>
      <c r="F39" s="10" t="s">
        <v>38</v>
      </c>
      <c r="G39" s="3"/>
    </row>
    <row r="40" spans="1:11" x14ac:dyDescent="0.2">
      <c r="A40" t="s">
        <v>16</v>
      </c>
      <c r="B40" s="3">
        <f>G34</f>
        <v>3.3228250431388264E-3</v>
      </c>
      <c r="C40" s="2"/>
    </row>
    <row r="41" spans="1:11" x14ac:dyDescent="0.2">
      <c r="A41" t="s">
        <v>9</v>
      </c>
      <c r="B41">
        <f>I34</f>
        <v>3.143181692053269E-3</v>
      </c>
      <c r="C41" s="6">
        <f>F34</f>
        <v>-1.3403109754290524E-2</v>
      </c>
      <c r="E41">
        <f>F34+B41/2</f>
        <v>-1.183151890826389E-2</v>
      </c>
      <c r="F41">
        <f>B41/B36+B41^2/(2*(B35-1))</f>
        <v>3.1493564365215557E-4</v>
      </c>
    </row>
    <row r="42" spans="1:11" x14ac:dyDescent="0.2">
      <c r="A42" t="s">
        <v>17</v>
      </c>
      <c r="B42">
        <f>K34</f>
        <v>3.1555449880329117E-3</v>
      </c>
      <c r="C42" s="6">
        <f>F34-D42*C34</f>
        <v>-2.0509960855613022E-2</v>
      </c>
      <c r="D42">
        <f>J33/E33</f>
        <v>1.6111249348086266E-4</v>
      </c>
      <c r="F42" s="3"/>
      <c r="G42" s="3"/>
    </row>
    <row r="43" spans="1:11" x14ac:dyDescent="0.2">
      <c r="C43" s="2"/>
      <c r="F43" s="3"/>
      <c r="G43" s="3"/>
    </row>
    <row r="44" spans="1:11" x14ac:dyDescent="0.2">
      <c r="C44" s="2"/>
      <c r="F44" s="3"/>
      <c r="G44" s="3"/>
    </row>
    <row r="45" spans="1:11" x14ac:dyDescent="0.2">
      <c r="A45" s="8" t="s">
        <v>20</v>
      </c>
      <c r="C45" s="2"/>
      <c r="F45" s="3"/>
      <c r="G45" s="3"/>
    </row>
    <row r="46" spans="1:11" x14ac:dyDescent="0.2">
      <c r="C46" s="2"/>
      <c r="F46" s="3"/>
      <c r="G46" s="3"/>
    </row>
    <row r="47" spans="1:11" x14ac:dyDescent="0.2">
      <c r="A47" t="s">
        <v>12</v>
      </c>
      <c r="B47" s="7" t="s">
        <v>43</v>
      </c>
      <c r="C47" s="2"/>
      <c r="F47" s="3"/>
      <c r="G47" s="3"/>
    </row>
    <row r="48" spans="1:11" x14ac:dyDescent="0.2">
      <c r="A48">
        <f>C41/(B35*B41/(B35-1))^0.5</f>
        <v>-0.22539515147117656</v>
      </c>
      <c r="B48" s="12" t="s">
        <v>46</v>
      </c>
      <c r="C48" s="11" t="s">
        <v>45</v>
      </c>
      <c r="F48" s="3"/>
      <c r="G48" s="3"/>
    </row>
    <row r="49" spans="1:11" x14ac:dyDescent="0.2">
      <c r="C49" s="2"/>
      <c r="F49" s="3"/>
      <c r="G49" s="3"/>
    </row>
    <row r="50" spans="1:11" x14ac:dyDescent="0.2">
      <c r="A50" s="8" t="s">
        <v>42</v>
      </c>
    </row>
    <row r="51" spans="1:11" x14ac:dyDescent="0.2">
      <c r="A51" s="8" t="s">
        <v>55</v>
      </c>
    </row>
    <row r="52" spans="1:11" x14ac:dyDescent="0.2">
      <c r="A52" t="s">
        <v>14</v>
      </c>
      <c r="B52" t="s">
        <v>6</v>
      </c>
      <c r="C52" t="s">
        <v>5</v>
      </c>
      <c r="D52" t="s">
        <v>13</v>
      </c>
      <c r="E52" s="7" t="s">
        <v>41</v>
      </c>
      <c r="F52" t="s">
        <v>0</v>
      </c>
      <c r="G52" t="s">
        <v>1</v>
      </c>
      <c r="H52" s="7" t="s">
        <v>32</v>
      </c>
      <c r="I52" t="s">
        <v>2</v>
      </c>
      <c r="J52" s="7" t="s">
        <v>18</v>
      </c>
      <c r="K52" s="7" t="s">
        <v>35</v>
      </c>
    </row>
    <row r="53" spans="1:11" x14ac:dyDescent="0.2">
      <c r="A53">
        <v>1974</v>
      </c>
      <c r="B53">
        <v>0</v>
      </c>
      <c r="C53">
        <v>36</v>
      </c>
      <c r="D53" s="1">
        <f>C53-C70</f>
        <v>-6.06666666666667</v>
      </c>
      <c r="E53" s="4">
        <f>D53^2</f>
        <v>36.804444444444485</v>
      </c>
      <c r="F53" s="1">
        <f>LN(C54)-LN(C53)</f>
        <v>-5.7158413839948352E-2</v>
      </c>
      <c r="G53" s="2">
        <f>F53^2</f>
        <v>3.2670842726987993E-3</v>
      </c>
      <c r="H53" s="1">
        <f>F53-F70</f>
        <v>-9.5516023500185787E-2</v>
      </c>
      <c r="I53" s="1">
        <f>H53^2</f>
        <v>9.1233107452880439E-3</v>
      </c>
      <c r="J53" s="1">
        <f>D53*H53</f>
        <v>0.57946387590112747</v>
      </c>
      <c r="K53" s="1">
        <f>(F53-C78-D78*C53)^2</f>
        <v>1.1818302981647672E-2</v>
      </c>
    </row>
    <row r="54" spans="1:11" x14ac:dyDescent="0.2">
      <c r="A54">
        <v>1975</v>
      </c>
      <c r="B54">
        <v>1</v>
      </c>
      <c r="C54">
        <v>34</v>
      </c>
      <c r="D54" s="1">
        <f>C54-C70</f>
        <v>-8.06666666666667</v>
      </c>
      <c r="E54" s="4">
        <f t="shared" ref="E54:E67" si="5">D54^2</f>
        <v>65.071111111111165</v>
      </c>
      <c r="F54" s="1">
        <f t="shared" ref="F54:F67" si="6">LN(C55)-LN(C54)</f>
        <v>0.13720112151348474</v>
      </c>
      <c r="G54" s="2">
        <f t="shared" ref="G54:G67" si="7">F54^2</f>
        <v>1.8824147744558005E-2</v>
      </c>
      <c r="H54" s="1">
        <f>F54-F70</f>
        <v>9.8843511853247301E-2</v>
      </c>
      <c r="I54" s="1">
        <f t="shared" ref="I54:I67" si="8">H54^2</f>
        <v>9.7700398354830399E-3</v>
      </c>
      <c r="J54" s="1">
        <f t="shared" ref="J54:J65" si="9">D54*H54</f>
        <v>-0.79733766228286185</v>
      </c>
      <c r="K54" s="1">
        <f>(F54-C78-D78*C54)^2</f>
        <v>6.6092328966902607E-3</v>
      </c>
    </row>
    <row r="55" spans="1:11" x14ac:dyDescent="0.2">
      <c r="A55">
        <v>1976</v>
      </c>
      <c r="B55">
        <v>2</v>
      </c>
      <c r="C55">
        <v>39</v>
      </c>
      <c r="D55" s="1">
        <f>C55-C70</f>
        <v>-3.06666666666667</v>
      </c>
      <c r="E55" s="4">
        <f t="shared" si="5"/>
        <v>9.404444444444465</v>
      </c>
      <c r="F55" s="1">
        <f t="shared" si="6"/>
        <v>-0.10821358464023279</v>
      </c>
      <c r="G55" s="2">
        <f t="shared" si="7"/>
        <v>1.1710179900688825E-2</v>
      </c>
      <c r="H55" s="1">
        <f>F55-F70</f>
        <v>-0.14657119430047022</v>
      </c>
      <c r="I55" s="1">
        <f t="shared" si="8"/>
        <v>2.1483114998666192E-2</v>
      </c>
      <c r="J55" s="1">
        <f t="shared" si="9"/>
        <v>0.4494849958547758</v>
      </c>
      <c r="K55" s="1">
        <f>(F55-C78-D78*C55)^2</f>
        <v>2.3483017792300713E-2</v>
      </c>
    </row>
    <row r="56" spans="1:11" x14ac:dyDescent="0.2">
      <c r="A56">
        <v>1977</v>
      </c>
      <c r="B56">
        <v>3</v>
      </c>
      <c r="C56">
        <v>35</v>
      </c>
      <c r="D56" s="1">
        <f>C56-C70</f>
        <v>-7.06666666666667</v>
      </c>
      <c r="E56" s="4">
        <f t="shared" si="5"/>
        <v>49.937777777777825</v>
      </c>
      <c r="F56" s="1">
        <f t="shared" si="6"/>
        <v>-2.8987536873251951E-2</v>
      </c>
      <c r="G56" s="2">
        <f t="shared" si="7"/>
        <v>8.4027729397814148E-4</v>
      </c>
      <c r="H56" s="1">
        <f>F56-F70</f>
        <v>-6.7345146533489386E-2</v>
      </c>
      <c r="I56" s="1">
        <f t="shared" si="8"/>
        <v>4.5353687616171579E-3</v>
      </c>
      <c r="J56" s="1">
        <f t="shared" si="9"/>
        <v>0.4759057021699919</v>
      </c>
      <c r="K56" s="1">
        <f>(F56-C78-D78*C56)^2</f>
        <v>6.8419872164549632E-3</v>
      </c>
    </row>
    <row r="57" spans="1:11" x14ac:dyDescent="0.2">
      <c r="A57">
        <v>1978</v>
      </c>
      <c r="B57">
        <v>4</v>
      </c>
      <c r="C57">
        <v>34</v>
      </c>
      <c r="D57" s="1">
        <f>C57-C70</f>
        <v>-8.06666666666667</v>
      </c>
      <c r="E57" s="4">
        <f t="shared" si="5"/>
        <v>65.071111111111165</v>
      </c>
      <c r="F57" s="1">
        <f t="shared" si="6"/>
        <v>0.1112256351102241</v>
      </c>
      <c r="G57" s="2">
        <f t="shared" si="7"/>
        <v>1.2371141905672716E-2</v>
      </c>
      <c r="H57" s="1">
        <f>F57-F70</f>
        <v>7.2868025449986662E-2</v>
      </c>
      <c r="I57" s="1">
        <f t="shared" si="8"/>
        <v>5.3097491329799039E-3</v>
      </c>
      <c r="J57" s="1">
        <f t="shared" si="9"/>
        <v>-0.58780207196322598</v>
      </c>
      <c r="K57" s="1">
        <f>(F57-C78-D78*C57)^2</f>
        <v>3.0604907492055222E-3</v>
      </c>
    </row>
    <row r="58" spans="1:11" x14ac:dyDescent="0.2">
      <c r="A58">
        <v>1979</v>
      </c>
      <c r="B58">
        <v>5</v>
      </c>
      <c r="C58">
        <v>38</v>
      </c>
      <c r="D58" s="1">
        <f>C58-C70</f>
        <v>-4.06666666666667</v>
      </c>
      <c r="E58" s="4">
        <f t="shared" si="5"/>
        <v>16.537777777777805</v>
      </c>
      <c r="F58" s="1">
        <f t="shared" si="6"/>
        <v>-5.4067221270275745E-2</v>
      </c>
      <c r="G58" s="2">
        <f t="shared" si="7"/>
        <v>2.9232644158889579E-3</v>
      </c>
      <c r="H58" s="1">
        <f>F58-F70</f>
        <v>-9.242483093051318E-2</v>
      </c>
      <c r="I58" s="1">
        <f t="shared" si="8"/>
        <v>8.5423493725339458E-3</v>
      </c>
      <c r="J58" s="1">
        <f t="shared" si="9"/>
        <v>0.37586097911742056</v>
      </c>
      <c r="K58" s="1">
        <f>(F58-C78-D78*C58)^2</f>
        <v>1.0255713756173481E-2</v>
      </c>
    </row>
    <row r="59" spans="1:11" x14ac:dyDescent="0.2">
      <c r="A59">
        <v>1980</v>
      </c>
      <c r="B59">
        <v>6</v>
      </c>
      <c r="C59">
        <v>36</v>
      </c>
      <c r="D59" s="1">
        <f>C59-C70</f>
        <v>-6.06666666666667</v>
      </c>
      <c r="E59" s="4">
        <f t="shared" si="5"/>
        <v>36.804444444444485</v>
      </c>
      <c r="F59" s="1">
        <f t="shared" si="6"/>
        <v>2.7398974188114433E-2</v>
      </c>
      <c r="G59" s="2">
        <f t="shared" si="7"/>
        <v>7.5070378656096092E-4</v>
      </c>
      <c r="H59" s="1">
        <f>F59-F70</f>
        <v>-1.0958635472123009E-2</v>
      </c>
      <c r="I59" s="1">
        <f t="shared" si="8"/>
        <v>1.2009169141087267E-4</v>
      </c>
      <c r="J59" s="1">
        <f t="shared" si="9"/>
        <v>6.6482388530879621E-2</v>
      </c>
      <c r="K59" s="1">
        <f>(F59-C78-D78*C59)^2</f>
        <v>5.834461766360716E-4</v>
      </c>
    </row>
    <row r="60" spans="1:11" x14ac:dyDescent="0.2">
      <c r="A60">
        <v>1981</v>
      </c>
      <c r="B60">
        <v>7</v>
      </c>
      <c r="C60">
        <v>37</v>
      </c>
      <c r="D60" s="1">
        <f>C60-C70</f>
        <v>-5.06666666666667</v>
      </c>
      <c r="E60" s="4">
        <f t="shared" si="5"/>
        <v>25.671111111111145</v>
      </c>
      <c r="F60" s="1">
        <f t="shared" si="6"/>
        <v>0.1026541540600836</v>
      </c>
      <c r="G60" s="2">
        <f t="shared" si="7"/>
        <v>1.0537875345791379E-2</v>
      </c>
      <c r="H60" s="1">
        <f>F60-F70</f>
        <v>6.4296544399846167E-2</v>
      </c>
      <c r="I60" s="1">
        <f t="shared" si="8"/>
        <v>4.1340456217613892E-3</v>
      </c>
      <c r="J60" s="1">
        <f t="shared" si="9"/>
        <v>-0.32576915829255415</v>
      </c>
      <c r="K60" s="1">
        <f>(F60-C78-D78*C60)^2</f>
        <v>2.8383016331865792E-3</v>
      </c>
    </row>
    <row r="61" spans="1:11" x14ac:dyDescent="0.2">
      <c r="A61">
        <v>1982</v>
      </c>
      <c r="B61">
        <v>8</v>
      </c>
      <c r="C61">
        <v>41</v>
      </c>
      <c r="D61" s="1">
        <f>C61-C70</f>
        <v>-1.06666666666667</v>
      </c>
      <c r="E61" s="4">
        <f t="shared" si="5"/>
        <v>1.1377777777777849</v>
      </c>
      <c r="F61" s="1">
        <f t="shared" si="6"/>
        <v>-5.0010420574661651E-2</v>
      </c>
      <c r="G61" s="2">
        <f t="shared" si="7"/>
        <v>2.5010421660545414E-3</v>
      </c>
      <c r="H61" s="1">
        <f>F61-F70</f>
        <v>-8.8368030234899086E-2</v>
      </c>
      <c r="I61" s="1">
        <f t="shared" si="8"/>
        <v>7.8089087675960395E-3</v>
      </c>
      <c r="J61" s="1">
        <f t="shared" si="9"/>
        <v>9.4259232250559322E-2</v>
      </c>
      <c r="K61" s="1">
        <f>(F61-C78-D78*C61)^2</f>
        <v>8.2243505610001127E-3</v>
      </c>
    </row>
    <row r="62" spans="1:11" x14ac:dyDescent="0.2">
      <c r="A62">
        <v>1983</v>
      </c>
      <c r="B62">
        <v>9</v>
      </c>
      <c r="C62">
        <v>39</v>
      </c>
      <c r="D62" s="1">
        <f>C62-C70</f>
        <v>-3.06666666666667</v>
      </c>
      <c r="E62" s="4">
        <f t="shared" si="5"/>
        <v>9.404444444444465</v>
      </c>
      <c r="F62" s="1">
        <f t="shared" si="6"/>
        <v>0.26826398659467943</v>
      </c>
      <c r="G62" s="2">
        <f t="shared" si="7"/>
        <v>7.1965566503670336E-2</v>
      </c>
      <c r="H62" s="1">
        <f>F62-F70</f>
        <v>0.22990637693444199</v>
      </c>
      <c r="I62" s="1">
        <f t="shared" si="8"/>
        <v>5.2856942155121718E-2</v>
      </c>
      <c r="J62" s="1">
        <f t="shared" si="9"/>
        <v>-0.70504622259895622</v>
      </c>
      <c r="K62" s="1">
        <f>(F62-C78-D78*C62)^2</f>
        <v>4.9834255410149797E-2</v>
      </c>
    </row>
    <row r="63" spans="1:11" x14ac:dyDescent="0.2">
      <c r="A63">
        <v>1984</v>
      </c>
      <c r="B63">
        <v>10</v>
      </c>
      <c r="C63">
        <v>51</v>
      </c>
      <c r="D63" s="1">
        <f>C63-C70</f>
        <v>8.93333333333333</v>
      </c>
      <c r="E63" s="4">
        <f t="shared" si="5"/>
        <v>79.804444444444385</v>
      </c>
      <c r="F63" s="1">
        <f t="shared" si="6"/>
        <v>-8.1678031014267294E-2</v>
      </c>
      <c r="G63" s="2">
        <f t="shared" si="7"/>
        <v>6.6713007503676099E-3</v>
      </c>
      <c r="H63" s="1">
        <f>F63-F70</f>
        <v>-0.12003564067450473</v>
      </c>
      <c r="I63" s="1">
        <f t="shared" si="8"/>
        <v>1.4408555032138814E-2</v>
      </c>
      <c r="J63" s="1">
        <f t="shared" si="9"/>
        <v>-1.0723183900255753</v>
      </c>
      <c r="K63" s="1">
        <f>(F63-C78-D78*C63)^2</f>
        <v>1.0121200109181524E-2</v>
      </c>
    </row>
    <row r="64" spans="1:11" x14ac:dyDescent="0.2">
      <c r="A64">
        <v>1985</v>
      </c>
      <c r="B64">
        <v>11</v>
      </c>
      <c r="C64">
        <v>47</v>
      </c>
      <c r="D64" s="1">
        <f>C64-C70</f>
        <v>4.93333333333333</v>
      </c>
      <c r="E64" s="4">
        <f t="shared" si="5"/>
        <v>24.337777777777745</v>
      </c>
      <c r="F64" s="1">
        <f t="shared" si="6"/>
        <v>0.19290366612449183</v>
      </c>
      <c r="G64" s="2">
        <f t="shared" si="7"/>
        <v>3.7211824404269421E-2</v>
      </c>
      <c r="H64" s="1">
        <f>F64-F70</f>
        <v>0.1545460564642544</v>
      </c>
      <c r="I64" s="1">
        <f t="shared" si="8"/>
        <v>2.3884483568652509E-2</v>
      </c>
      <c r="J64" s="1">
        <f t="shared" si="9"/>
        <v>0.76242721189032114</v>
      </c>
      <c r="K64" s="1">
        <f>(F64-C78-D78*C64)^2</f>
        <v>2.731644231651589E-2</v>
      </c>
    </row>
    <row r="65" spans="1:11" x14ac:dyDescent="0.2">
      <c r="A65">
        <v>1986</v>
      </c>
      <c r="B65">
        <v>12</v>
      </c>
      <c r="C65">
        <v>57</v>
      </c>
      <c r="D65" s="1">
        <f>C65-C70</f>
        <v>14.93333333333333</v>
      </c>
      <c r="E65" s="4">
        <f t="shared" si="5"/>
        <v>223.00444444444435</v>
      </c>
      <c r="F65" s="1">
        <f t="shared" si="6"/>
        <v>-0.17185025692665912</v>
      </c>
      <c r="G65" s="2">
        <f t="shared" si="7"/>
        <v>2.9532510805758749E-2</v>
      </c>
      <c r="H65" s="1">
        <f>F65-F70</f>
        <v>-0.21020786658689655</v>
      </c>
      <c r="I65" s="1">
        <f t="shared" si="8"/>
        <v>4.4187347175014498E-2</v>
      </c>
      <c r="J65" s="1">
        <f t="shared" si="9"/>
        <v>-3.1391041410309879</v>
      </c>
      <c r="K65" s="1">
        <f>(F65-C78-D78*C65)^2</f>
        <v>3.1586323912988698E-2</v>
      </c>
    </row>
    <row r="66" spans="1:11" x14ac:dyDescent="0.2">
      <c r="A66">
        <v>1987</v>
      </c>
      <c r="B66">
        <v>13</v>
      </c>
      <c r="C66">
        <v>48</v>
      </c>
      <c r="D66" s="1">
        <f>C66-C70</f>
        <v>5.93333333333333</v>
      </c>
      <c r="E66" s="4">
        <f t="shared" si="5"/>
        <v>35.204444444444405</v>
      </c>
      <c r="F66" s="1">
        <f t="shared" si="6"/>
        <v>0.20633643299782856</v>
      </c>
      <c r="G66" s="2">
        <f t="shared" si="7"/>
        <v>4.2574723582267396E-2</v>
      </c>
      <c r="H66" s="1">
        <f>F66-F70</f>
        <v>0.16797882333759112</v>
      </c>
      <c r="I66" s="1">
        <f t="shared" si="8"/>
        <v>2.8216885089881648E-2</v>
      </c>
      <c r="J66" s="1">
        <f>D66*H66</f>
        <v>0.99667435180304009</v>
      </c>
      <c r="K66" s="1">
        <f>(F66-C78-D78*C66)^2</f>
        <v>3.2719309618635388E-2</v>
      </c>
    </row>
    <row r="67" spans="1:11" x14ac:dyDescent="0.2">
      <c r="A67">
        <v>1988</v>
      </c>
      <c r="B67">
        <v>14</v>
      </c>
      <c r="C67">
        <v>59</v>
      </c>
      <c r="D67" s="1">
        <f>C67-C70</f>
        <v>16.93333333333333</v>
      </c>
      <c r="E67" s="4">
        <f t="shared" si="5"/>
        <v>286.73777777777764</v>
      </c>
      <c r="F67" s="1">
        <f t="shared" si="6"/>
        <v>8.134563945395179E-2</v>
      </c>
      <c r="G67" s="2">
        <f t="shared" si="7"/>
        <v>6.6171130581723185E-3</v>
      </c>
      <c r="H67" s="1">
        <f>F67-F70</f>
        <v>4.2988029793714348E-2</v>
      </c>
      <c r="I67" s="1">
        <f t="shared" si="8"/>
        <v>1.8479707055452724E-3</v>
      </c>
      <c r="J67" s="1">
        <f>D67*H67</f>
        <v>0.72793063784022949</v>
      </c>
      <c r="K67" s="1">
        <f>(F67-C78-D78*C67)^2</f>
        <v>6.3713612688286085E-3</v>
      </c>
    </row>
    <row r="68" spans="1:11" x14ac:dyDescent="0.2">
      <c r="A68">
        <v>1989</v>
      </c>
      <c r="B68">
        <v>15</v>
      </c>
      <c r="C68" s="13">
        <v>64</v>
      </c>
      <c r="D68" s="1"/>
      <c r="E68" s="1"/>
      <c r="F68" s="1"/>
      <c r="G68" s="2"/>
      <c r="H68" s="1"/>
      <c r="I68" s="1"/>
      <c r="J68" s="1"/>
      <c r="K68" s="1"/>
    </row>
    <row r="69" spans="1:11" x14ac:dyDescent="0.2">
      <c r="A69" t="s">
        <v>7</v>
      </c>
      <c r="C69">
        <f>SUM(C53:C67)</f>
        <v>631</v>
      </c>
      <c r="E69" s="2">
        <f>SUM(E53:E67)</f>
        <v>964.93333333333328</v>
      </c>
      <c r="F69" s="3">
        <f>SUM(F53:F67)</f>
        <v>0.57536414490356158</v>
      </c>
      <c r="G69" s="3">
        <f>SUM(G53:G67)</f>
        <v>0.25829875593639817</v>
      </c>
      <c r="H69" s="1"/>
      <c r="I69" s="1">
        <f>SUM(I53:I67)</f>
        <v>0.23622916265369104</v>
      </c>
      <c r="J69" s="1">
        <f>SUM(J53:J67)</f>
        <v>-2.0988882708358156</v>
      </c>
      <c r="K69" s="1">
        <f>SUM(K53:K67)</f>
        <v>0.23166373639959528</v>
      </c>
    </row>
    <row r="70" spans="1:11" x14ac:dyDescent="0.2">
      <c r="A70" t="s">
        <v>8</v>
      </c>
      <c r="C70" s="2">
        <f>SUM(C53:C67)/B71</f>
        <v>42.06666666666667</v>
      </c>
      <c r="D70" s="2"/>
      <c r="E70">
        <f>E69/B71</f>
        <v>64.328888888888883</v>
      </c>
      <c r="F70" s="3">
        <f>SUM(F53:F67)/B71</f>
        <v>3.8357609660237442E-2</v>
      </c>
      <c r="G70" s="3">
        <f>SUM(G53:G67)/B71</f>
        <v>1.7219917062426544E-2</v>
      </c>
      <c r="I70">
        <f>I69/B71</f>
        <v>1.5748610843579404E-2</v>
      </c>
      <c r="J70">
        <f>J69/B71</f>
        <v>-0.13992588472238771</v>
      </c>
      <c r="K70">
        <f>K69/B71</f>
        <v>1.5444249093306352E-2</v>
      </c>
    </row>
    <row r="71" spans="1:11" x14ac:dyDescent="0.2">
      <c r="A71" t="s">
        <v>10</v>
      </c>
      <c r="B71">
        <v>15</v>
      </c>
      <c r="C71" s="2"/>
      <c r="F71" s="3"/>
      <c r="G71" s="3"/>
    </row>
    <row r="72" spans="1:11" x14ac:dyDescent="0.2">
      <c r="A72" t="s">
        <v>19</v>
      </c>
      <c r="B72">
        <f>B68+1</f>
        <v>16</v>
      </c>
      <c r="C72" s="2"/>
      <c r="F72" s="3"/>
      <c r="G72" s="3"/>
    </row>
    <row r="73" spans="1:11" x14ac:dyDescent="0.2">
      <c r="C73" s="2"/>
      <c r="F73" s="3"/>
      <c r="G73" s="3"/>
    </row>
    <row r="74" spans="1:11" x14ac:dyDescent="0.2">
      <c r="A74" s="8" t="s">
        <v>33</v>
      </c>
      <c r="C74" s="2"/>
      <c r="F74" s="3"/>
      <c r="G74" s="3"/>
    </row>
    <row r="75" spans="1:11" x14ac:dyDescent="0.2">
      <c r="B75" t="s">
        <v>15</v>
      </c>
      <c r="C75" s="2" t="s">
        <v>4</v>
      </c>
      <c r="D75" t="s">
        <v>3</v>
      </c>
      <c r="E75" s="7" t="s">
        <v>11</v>
      </c>
      <c r="F75" s="10" t="s">
        <v>36</v>
      </c>
      <c r="G75" s="3"/>
    </row>
    <row r="76" spans="1:11" x14ac:dyDescent="0.2">
      <c r="A76" t="s">
        <v>16</v>
      </c>
      <c r="B76" s="3">
        <f>G70</f>
        <v>1.7219917062426544E-2</v>
      </c>
      <c r="C76" s="2"/>
    </row>
    <row r="77" spans="1:11" x14ac:dyDescent="0.2">
      <c r="A77" t="s">
        <v>9</v>
      </c>
      <c r="B77">
        <f>I70</f>
        <v>1.5748610843579404E-2</v>
      </c>
      <c r="C77" s="2">
        <f>F70</f>
        <v>3.8357609660237442E-2</v>
      </c>
      <c r="E77">
        <f>F70+B77/2</f>
        <v>4.6231915082027147E-2</v>
      </c>
      <c r="F77">
        <f>B77/B72+B77^2/(2*(B71-1))</f>
        <v>9.9314598999165936E-4</v>
      </c>
    </row>
    <row r="78" spans="1:11" x14ac:dyDescent="0.2">
      <c r="A78" t="s">
        <v>17</v>
      </c>
      <c r="B78">
        <f>K70</f>
        <v>1.5444249093306352E-2</v>
      </c>
      <c r="C78" s="2">
        <f>F70-D78*C70</f>
        <v>0.12985950954260581</v>
      </c>
      <c r="D78">
        <f>J69/E69</f>
        <v>-2.1751640225602621E-3</v>
      </c>
      <c r="F78" s="3"/>
      <c r="G78" s="3"/>
    </row>
    <row r="79" spans="1:11" x14ac:dyDescent="0.2">
      <c r="C79" s="2"/>
      <c r="F79" s="3"/>
      <c r="G79" s="3"/>
    </row>
    <row r="80" spans="1:11" x14ac:dyDescent="0.2">
      <c r="C80" s="2"/>
      <c r="F80" s="3"/>
      <c r="G80" s="3"/>
    </row>
    <row r="81" spans="1:7" x14ac:dyDescent="0.2">
      <c r="A81" s="8" t="s">
        <v>20</v>
      </c>
      <c r="C81" s="2"/>
      <c r="F81" s="3"/>
      <c r="G81" s="3"/>
    </row>
    <row r="82" spans="1:7" x14ac:dyDescent="0.2">
      <c r="C82" s="2"/>
      <c r="F82" s="3"/>
      <c r="G82" s="3"/>
    </row>
    <row r="83" spans="1:7" x14ac:dyDescent="0.2">
      <c r="A83" t="s">
        <v>12</v>
      </c>
      <c r="B83" s="7" t="s">
        <v>47</v>
      </c>
      <c r="C83" s="2"/>
      <c r="F83" s="3"/>
      <c r="G83" s="3"/>
    </row>
    <row r="84" spans="1:7" x14ac:dyDescent="0.2">
      <c r="A84">
        <f>C77/(B71*B77/(B71-1))^0.5</f>
        <v>0.29529003947553523</v>
      </c>
      <c r="B84" s="7" t="s">
        <v>44</v>
      </c>
      <c r="C84" s="11" t="s">
        <v>45</v>
      </c>
      <c r="F84" s="3"/>
      <c r="G84" s="3"/>
    </row>
    <row r="85" spans="1:7" x14ac:dyDescent="0.2">
      <c r="C85" s="2"/>
      <c r="F85" s="3"/>
      <c r="G85" s="3"/>
    </row>
    <row r="86" spans="1:7" x14ac:dyDescent="0.2">
      <c r="C86" s="2"/>
      <c r="F86" s="3"/>
      <c r="G86" s="3"/>
    </row>
  </sheetData>
  <pageMargins left="0.78740157499999996" right="0.78740157499999996" top="0.984251969" bottom="0.984251969" header="0.4921259845" footer="0.4921259845"/>
  <pageSetup paperSize="0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3" x14ac:dyDescent="0.2"/>
  <sheetData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" x14ac:dyDescent="0.2"/>
  <sheetData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Klaus Henle</dc:creator>
  <cp:lastModifiedBy>Microsoft Office User</cp:lastModifiedBy>
  <dcterms:created xsi:type="dcterms:W3CDTF">1999-07-17T20:11:04Z</dcterms:created>
  <dcterms:modified xsi:type="dcterms:W3CDTF">2025-10-25T13:17:01Z</dcterms:modified>
</cp:coreProperties>
</file>