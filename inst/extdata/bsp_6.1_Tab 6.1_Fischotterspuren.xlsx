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enle/Documents/Dateien/Publikationen/Methodenbuch/Ulmer Texte/Daten/Online/"/>
    </mc:Choice>
  </mc:AlternateContent>
  <xr:revisionPtr revIDLastSave="0" documentId="8_{AE593FC2-99B0-714D-BF62-4BCBDAC1535E}" xr6:coauthVersionLast="47" xr6:coauthVersionMax="47" xr10:uidLastSave="{00000000-0000-0000-0000-000000000000}"/>
  <bookViews>
    <workbookView xWindow="1600" yWindow="680" windowWidth="12540" windowHeight="15680" xr2:uid="{4889E00B-DF3F-C349-9C0F-3413B2FED9B6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1" l="1"/>
  <c r="B9" i="1" s="1"/>
  <c r="B13" i="1" s="1"/>
  <c r="B14" i="1" s="1"/>
  <c r="B12" i="1"/>
  <c r="C14" i="1"/>
</calcChain>
</file>

<file path=xl/sharedStrings.xml><?xml version="1.0" encoding="utf-8"?>
<sst xmlns="http://schemas.openxmlformats.org/spreadsheetml/2006/main" count="14" uniqueCount="14">
  <si>
    <t>Anzahl Probeflächen</t>
  </si>
  <si>
    <t>var(N)</t>
  </si>
  <si>
    <t>Gesamtzahl an Flächen (T)</t>
  </si>
  <si>
    <t>Gesamtzahl Probeflächen (t)</t>
  </si>
  <si>
    <t>Schätzwerte</t>
  </si>
  <si>
    <t>gerundet</t>
  </si>
  <si>
    <t xml:space="preserve">Varianz </t>
  </si>
  <si>
    <t>±95% CI  für 49 Freiheitsgrade</t>
  </si>
  <si>
    <t>Beispiel 6.1, Tabelle 6.1 Erfassung von Otterspuren zur Sätzung der Populationsgröße</t>
  </si>
  <si>
    <t>Mittlere Anzahl Spuren / Probeflächen</t>
  </si>
  <si>
    <t>Quelle</t>
  </si>
  <si>
    <t>Anzahl Spuren</t>
  </si>
  <si>
    <t>Populationsgröße (N)</t>
  </si>
  <si>
    <r>
      <t>Fischotterbestand (</t>
    </r>
    <r>
      <rPr>
        <i/>
        <sz val="12"/>
        <color theme="1"/>
        <rFont val="Times New Roman"/>
        <family val="1"/>
      </rPr>
      <t>Lutra lutra</t>
    </r>
    <r>
      <rPr>
        <sz val="12"/>
        <color theme="1"/>
        <rFont val="Times New Roman"/>
        <family val="1"/>
      </rPr>
      <t xml:space="preserve"> L.) des Einzugsgebietes der Warnow (Mecklenburg) im Winter 1991. – S. 22–27 in: Landesumweltamt Brandenburg (Hrsg.): Schutz des Fischotters. – Landesumweltamt Brandenburg, Potsdam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</si>
</sst>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Font="1"/>
    <xf numFmtId="0" fontId="2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AD360-A43A-2740-BD98-678F2C18FF93}">
  <dimension ref="A1:D14"/>
  <sheetViews>
    <sheetView tabSelected="1" workbookViewId="0">
      <selection activeCell="B2" sqref="B2"/>
    </sheetView>
  </sheetViews>
  <sheetFormatPr baseColWidth="10" defaultRowHeight="16" x14ac:dyDescent="0.2"/>
  <cols>
    <col min="1" max="1" width="35.83203125" customWidth="1"/>
  </cols>
  <sheetData>
    <row r="1" spans="1:4" x14ac:dyDescent="0.2">
      <c r="A1" s="1" t="s">
        <v>8</v>
      </c>
    </row>
    <row r="2" spans="1:4" x14ac:dyDescent="0.2">
      <c r="A2" s="2" t="s">
        <v>10</v>
      </c>
      <c r="B2" s="3" t="s">
        <v>13</v>
      </c>
    </row>
    <row r="4" spans="1:4" x14ac:dyDescent="0.2">
      <c r="A4" t="s">
        <v>11</v>
      </c>
      <c r="B4">
        <v>0</v>
      </c>
      <c r="C4">
        <v>1</v>
      </c>
      <c r="D4">
        <v>2</v>
      </c>
    </row>
    <row r="5" spans="1:4" x14ac:dyDescent="0.2">
      <c r="A5" t="s">
        <v>0</v>
      </c>
      <c r="B5">
        <v>45</v>
      </c>
      <c r="C5">
        <v>4</v>
      </c>
      <c r="D5">
        <v>1</v>
      </c>
    </row>
    <row r="6" spans="1:4" x14ac:dyDescent="0.2">
      <c r="A6" t="s">
        <v>2</v>
      </c>
      <c r="B6">
        <v>514</v>
      </c>
    </row>
    <row r="7" spans="1:4" x14ac:dyDescent="0.2">
      <c r="A7" t="s">
        <v>3</v>
      </c>
      <c r="B7">
        <v>50</v>
      </c>
    </row>
    <row r="8" spans="1:4" x14ac:dyDescent="0.2">
      <c r="A8" t="s">
        <v>9</v>
      </c>
      <c r="B8">
        <f>(C5*C4+D5*D4)/B7</f>
        <v>0.12</v>
      </c>
    </row>
    <row r="9" spans="1:4" x14ac:dyDescent="0.2">
      <c r="A9" t="s">
        <v>6</v>
      </c>
      <c r="B9">
        <f>(B5*(B4-B8)^2+C5*(C4-B8)^2+D5*(D4-B8)^2)/(B7-1)</f>
        <v>0.14857142857142855</v>
      </c>
    </row>
    <row r="11" spans="1:4" x14ac:dyDescent="0.2">
      <c r="A11" t="s">
        <v>4</v>
      </c>
      <c r="C11" t="s">
        <v>5</v>
      </c>
    </row>
    <row r="12" spans="1:4" x14ac:dyDescent="0.2">
      <c r="A12" t="s">
        <v>12</v>
      </c>
      <c r="B12">
        <f>B6/B7*(C5*C4+D5*D4)</f>
        <v>61.679999999999993</v>
      </c>
      <c r="C12">
        <v>62</v>
      </c>
    </row>
    <row r="13" spans="1:4" x14ac:dyDescent="0.2">
      <c r="A13" t="s">
        <v>1</v>
      </c>
      <c r="B13">
        <f>B6^2*B9/B7*(1-B7/B6)</f>
        <v>708.67382857142854</v>
      </c>
      <c r="C13">
        <v>708.7</v>
      </c>
    </row>
    <row r="14" spans="1:4" x14ac:dyDescent="0.2">
      <c r="A14" t="s">
        <v>7</v>
      </c>
      <c r="B14">
        <f>2.01*B13^0.5</f>
        <v>53.50806607242901</v>
      </c>
      <c r="C14">
        <f>2.01*C13^0.5</f>
        <v>53.509054093676518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2025-02-03T17:37:45Z</dcterms:created>
  <dcterms:modified xsi:type="dcterms:W3CDTF">2025-10-19T19:12:36Z</dcterms:modified>
</cp:coreProperties>
</file>