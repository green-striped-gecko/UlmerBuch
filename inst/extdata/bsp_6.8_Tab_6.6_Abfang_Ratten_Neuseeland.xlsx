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8_{02C2E030-AF57-3F49-919D-D3BC2062C9E0}" xr6:coauthVersionLast="47" xr6:coauthVersionMax="47" xr10:uidLastSave="{00000000-0000-0000-0000-000000000000}"/>
  <bookViews>
    <workbookView xWindow="1960" yWindow="3860" windowWidth="27840" windowHeight="15780" xr2:uid="{82AC2AFC-5199-7740-B955-7A7B27505D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F36" i="1" s="1"/>
  <c r="E35" i="1"/>
  <c r="F35" i="1" s="1"/>
  <c r="E34" i="1"/>
  <c r="F34" i="1" s="1"/>
  <c r="F37" i="1" s="1"/>
  <c r="B22" i="1"/>
  <c r="E37" i="1" l="1"/>
  <c r="B19" i="1"/>
  <c r="B23" i="1" l="1"/>
  <c r="B24" i="1" s="1"/>
  <c r="B25" i="1" s="1"/>
  <c r="B26" i="1"/>
  <c r="B28" i="1" l="1"/>
  <c r="B30" i="1" s="1"/>
  <c r="B27" i="1"/>
  <c r="B29" i="1" l="1"/>
</calcChain>
</file>

<file path=xl/sharedStrings.xml><?xml version="1.0" encoding="utf-8"?>
<sst xmlns="http://schemas.openxmlformats.org/spreadsheetml/2006/main" count="40" uniqueCount="30">
  <si>
    <t>Tag</t>
  </si>
  <si>
    <t>X</t>
  </si>
  <si>
    <t>Y</t>
  </si>
  <si>
    <t>N</t>
  </si>
  <si>
    <t>p</t>
  </si>
  <si>
    <t>q</t>
  </si>
  <si>
    <t>Summe</t>
  </si>
  <si>
    <t>T-Teilwert (ganze Individuen)</t>
  </si>
  <si>
    <t>T-Teilwert für Tag i</t>
  </si>
  <si>
    <t>In diesem Beispiel wird die Populationsgröße basierend auf 3 Abfängen berechnet. Hierzu wurden nur die ersten 3 Tage des Abfangs verwendet</t>
  </si>
  <si>
    <t>ni</t>
  </si>
  <si>
    <t>Anzahl am Tag i abgefangener Ratten</t>
  </si>
  <si>
    <t>Erwartungswert (ni)</t>
  </si>
  <si>
    <t>Zur Erleichterung der Berechnung eingefügter Zwischenschritt</t>
  </si>
  <si>
    <t>Var(N)</t>
  </si>
  <si>
    <t>Fangwahrscheinlichkeit</t>
  </si>
  <si>
    <t>1-p</t>
  </si>
  <si>
    <t>Populationsgröße vor Beginn des Abfangs</t>
  </si>
  <si>
    <t>N-gerundet</t>
  </si>
  <si>
    <t>Fangdaten</t>
  </si>
  <si>
    <t>Schätzwerte</t>
  </si>
  <si>
    <t>Modelltest (Chi-Quadrat)</t>
  </si>
  <si>
    <t>Erwartungswert gerundet</t>
  </si>
  <si>
    <t>95%-VI-oben</t>
  </si>
  <si>
    <t>95%-VI-unten</t>
  </si>
  <si>
    <t>Tab. 6.6 Beispiel 6.8: Schätzung der Populationsgröße von Ratten durch Abfang</t>
  </si>
  <si>
    <t>grüner Wert</t>
  </si>
  <si>
    <t>Der im Buch verwendete Wert. Bei einem Freiheitsgrad ist alpha &gt; 0,3</t>
  </si>
  <si>
    <t>Das Modell ist also gut geeignet für die Abfangdaten</t>
  </si>
  <si>
    <r>
      <t>Brown, K.R., Moller, H., Innes, J., Alterio, N. (1996): Calibration of tunnel tracking rates to estimate relative abundance of ship rats (</t>
    </r>
    <r>
      <rPr>
        <i/>
        <sz val="12"/>
        <color theme="1"/>
        <rFont val="Times New Roman"/>
        <family val="1"/>
      </rPr>
      <t>Rattus rattus</t>
    </r>
    <r>
      <rPr>
        <sz val="12"/>
        <color theme="1"/>
        <rFont val="Times New Roman"/>
        <family val="1"/>
      </rPr>
      <t>) and mice (</t>
    </r>
    <r>
      <rPr>
        <i/>
        <sz val="12"/>
        <color theme="1"/>
        <rFont val="Times New Roman"/>
        <family val="1"/>
      </rPr>
      <t>Mus musculus</t>
    </r>
    <r>
      <rPr>
        <sz val="12"/>
        <color theme="1"/>
        <rFont val="Times New Roman"/>
        <family val="1"/>
      </rPr>
      <t>) in a New Zealand forest. – New Zealand Journal of Ecology 20(2): 271–275.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</si>
</sst>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</xdr:row>
      <xdr:rowOff>0</xdr:rowOff>
    </xdr:from>
    <xdr:to>
      <xdr:col>4</xdr:col>
      <xdr:colOff>1244600</xdr:colOff>
      <xdr:row>26</xdr:row>
      <xdr:rowOff>139700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25F7BB8-C4E5-FC4F-8C43-AE7728D9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438400"/>
          <a:ext cx="28448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32C0-0389-C743-ACE1-73B25C8D406D}">
  <dimension ref="A1:K40"/>
  <sheetViews>
    <sheetView tabSelected="1" zoomScale="99" workbookViewId="0">
      <selection activeCell="A2" sqref="A2"/>
    </sheetView>
  </sheetViews>
  <sheetFormatPr baseColWidth="10" defaultRowHeight="16" x14ac:dyDescent="0.2"/>
  <cols>
    <col min="3" max="3" width="22.33203125" customWidth="1"/>
    <col min="4" max="4" width="21" customWidth="1"/>
    <col min="5" max="5" width="24.83203125" customWidth="1"/>
    <col min="7" max="7" width="23.33203125" customWidth="1"/>
  </cols>
  <sheetData>
    <row r="1" spans="1:2" x14ac:dyDescent="0.2">
      <c r="A1" s="2" t="s">
        <v>25</v>
      </c>
    </row>
    <row r="2" spans="1:2" x14ac:dyDescent="0.2">
      <c r="A2" s="4" t="s">
        <v>29</v>
      </c>
    </row>
    <row r="3" spans="1:2" x14ac:dyDescent="0.2">
      <c r="A3" s="2"/>
    </row>
    <row r="4" spans="1:2" x14ac:dyDescent="0.2">
      <c r="A4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</v>
      </c>
      <c r="B7" t="s">
        <v>13</v>
      </c>
    </row>
    <row r="8" spans="1:2" x14ac:dyDescent="0.2">
      <c r="A8" t="s">
        <v>2</v>
      </c>
      <c r="B8" t="s">
        <v>13</v>
      </c>
    </row>
    <row r="9" spans="1:2" x14ac:dyDescent="0.2">
      <c r="A9" t="s">
        <v>4</v>
      </c>
      <c r="B9" t="s">
        <v>15</v>
      </c>
    </row>
    <row r="10" spans="1:2" x14ac:dyDescent="0.2">
      <c r="A10" t="s">
        <v>5</v>
      </c>
      <c r="B10" t="s">
        <v>16</v>
      </c>
    </row>
    <row r="11" spans="1:2" x14ac:dyDescent="0.2">
      <c r="A11" t="s">
        <v>3</v>
      </c>
      <c r="B11" t="s">
        <v>17</v>
      </c>
    </row>
    <row r="14" spans="1:2" x14ac:dyDescent="0.2">
      <c r="A14" s="2" t="s">
        <v>19</v>
      </c>
    </row>
    <row r="15" spans="1:2" x14ac:dyDescent="0.2">
      <c r="A15" s="2" t="s">
        <v>0</v>
      </c>
      <c r="B15" s="2" t="s">
        <v>10</v>
      </c>
    </row>
    <row r="16" spans="1:2" x14ac:dyDescent="0.2">
      <c r="A16">
        <v>1</v>
      </c>
      <c r="B16">
        <v>41</v>
      </c>
    </row>
    <row r="17" spans="1:11" x14ac:dyDescent="0.2">
      <c r="A17">
        <v>2</v>
      </c>
      <c r="B17">
        <v>18</v>
      </c>
    </row>
    <row r="18" spans="1:11" x14ac:dyDescent="0.2">
      <c r="A18">
        <v>3</v>
      </c>
      <c r="B18">
        <v>13</v>
      </c>
    </row>
    <row r="19" spans="1:11" x14ac:dyDescent="0.2">
      <c r="A19" t="s">
        <v>6</v>
      </c>
      <c r="B19">
        <f>B16+B17+B18</f>
        <v>72</v>
      </c>
    </row>
    <row r="20" spans="1:11" x14ac:dyDescent="0.2">
      <c r="J20" s="1"/>
      <c r="K20" s="1"/>
    </row>
    <row r="21" spans="1:11" x14ac:dyDescent="0.2">
      <c r="A21" s="2" t="s">
        <v>20</v>
      </c>
      <c r="J21" s="1"/>
      <c r="K21" s="1"/>
    </row>
    <row r="22" spans="1:11" x14ac:dyDescent="0.2">
      <c r="A22" t="s">
        <v>1</v>
      </c>
      <c r="B22">
        <f>2*B16+B17</f>
        <v>100</v>
      </c>
    </row>
    <row r="23" spans="1:11" x14ac:dyDescent="0.2">
      <c r="A23" t="s">
        <v>2</v>
      </c>
      <c r="B23">
        <f>B19</f>
        <v>72</v>
      </c>
    </row>
    <row r="24" spans="1:11" x14ac:dyDescent="0.2">
      <c r="A24" t="s">
        <v>4</v>
      </c>
      <c r="B24">
        <f>(3*B22-B23-(B23^2+6*B22*B23-3*B22^2)^0.5)/(2*B22)</f>
        <v>0.46206194973286829</v>
      </c>
    </row>
    <row r="25" spans="1:11" x14ac:dyDescent="0.2">
      <c r="A25" t="s">
        <v>5</v>
      </c>
      <c r="B25">
        <f>1-B24</f>
        <v>0.53793805026713171</v>
      </c>
    </row>
    <row r="26" spans="1:11" x14ac:dyDescent="0.2">
      <c r="A26" t="s">
        <v>3</v>
      </c>
      <c r="B26">
        <f>(6*B22^2-3*B22*B23-B23^2+B23*(B23^2+6*B22*B23-3*B22^2)^0.5)/(18*(B22-B23))</f>
        <v>85.274420483822809</v>
      </c>
    </row>
    <row r="27" spans="1:11" x14ac:dyDescent="0.2">
      <c r="A27" t="s">
        <v>18</v>
      </c>
      <c r="B27">
        <f>ROUND(B26,0)</f>
        <v>85</v>
      </c>
    </row>
    <row r="28" spans="1:11" x14ac:dyDescent="0.2">
      <c r="A28" t="s">
        <v>14</v>
      </c>
      <c r="B28">
        <f>(B26*(1-B25^3)*B25^3)/((1-B25^3)^2-(3*B24)^2*B25^2)</f>
        <v>71.454147488841443</v>
      </c>
    </row>
    <row r="29" spans="1:11" x14ac:dyDescent="0.2">
      <c r="A29" t="s">
        <v>23</v>
      </c>
      <c r="B29">
        <f>B26+1.96*B28^0.5</f>
        <v>101.84240928732982</v>
      </c>
    </row>
    <row r="30" spans="1:11" x14ac:dyDescent="0.2">
      <c r="A30" t="s">
        <v>24</v>
      </c>
      <c r="B30">
        <f>B26-B28^0.5</f>
        <v>76.821364971829439</v>
      </c>
    </row>
    <row r="32" spans="1:11" x14ac:dyDescent="0.2">
      <c r="A32" s="2" t="s">
        <v>21</v>
      </c>
    </row>
    <row r="33" spans="1:7" x14ac:dyDescent="0.2">
      <c r="A33" t="s">
        <v>0</v>
      </c>
      <c r="B33" t="s">
        <v>10</v>
      </c>
      <c r="C33" t="s">
        <v>12</v>
      </c>
      <c r="D33" t="s">
        <v>8</v>
      </c>
      <c r="E33" s="2" t="s">
        <v>22</v>
      </c>
      <c r="F33" s="2" t="s">
        <v>7</v>
      </c>
    </row>
    <row r="34" spans="1:7" x14ac:dyDescent="0.2">
      <c r="A34">
        <v>1</v>
      </c>
      <c r="B34">
        <v>41</v>
      </c>
      <c r="C34">
        <v>39.402064991095607</v>
      </c>
      <c r="D34">
        <v>6.4803616086093974E-2</v>
      </c>
      <c r="E34">
        <f>ROUND(C34,0)</f>
        <v>39</v>
      </c>
      <c r="F34">
        <f>(B34-E34)^2/E34</f>
        <v>0.10256410256410256</v>
      </c>
    </row>
    <row r="35" spans="1:7" x14ac:dyDescent="0.2">
      <c r="A35">
        <v>2</v>
      </c>
      <c r="B35">
        <v>18</v>
      </c>
      <c r="C35">
        <v>21.19587001780878</v>
      </c>
      <c r="D35">
        <v>0.48186675810653823</v>
      </c>
      <c r="E35">
        <f t="shared" ref="E35:E36" si="0">ROUND(C35,0)</f>
        <v>21</v>
      </c>
      <c r="F35">
        <f t="shared" ref="F35:F36" si="1">(B35-E35)^2/E35</f>
        <v>0.42857142857142855</v>
      </c>
    </row>
    <row r="36" spans="1:7" x14ac:dyDescent="0.2">
      <c r="A36">
        <v>3</v>
      </c>
      <c r="B36">
        <v>13</v>
      </c>
      <c r="C36">
        <v>11.40206499109561</v>
      </c>
      <c r="D36">
        <v>0.22394156625807127</v>
      </c>
      <c r="E36">
        <f t="shared" si="0"/>
        <v>11</v>
      </c>
      <c r="F36">
        <f t="shared" si="1"/>
        <v>0.36363636363636365</v>
      </c>
    </row>
    <row r="37" spans="1:7" x14ac:dyDescent="0.2">
      <c r="A37" t="s">
        <v>6</v>
      </c>
      <c r="B37">
        <v>72</v>
      </c>
      <c r="C37">
        <v>72</v>
      </c>
      <c r="D37" s="1">
        <v>0.77061194045070347</v>
      </c>
      <c r="E37">
        <f>E34+E35+E36</f>
        <v>71</v>
      </c>
      <c r="F37" s="3">
        <f>SUM(F34:F36)</f>
        <v>0.89477189477189478</v>
      </c>
      <c r="G37" s="1"/>
    </row>
    <row r="39" spans="1:7" x14ac:dyDescent="0.2">
      <c r="A39" s="1" t="s">
        <v>26</v>
      </c>
      <c r="B39" s="1" t="s">
        <v>27</v>
      </c>
    </row>
    <row r="40" spans="1:7" x14ac:dyDescent="0.2">
      <c r="B40" t="s">
        <v>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2022-04-09T16:32:48Z</dcterms:created>
  <dcterms:modified xsi:type="dcterms:W3CDTF">2025-10-23T12:42:48Z</dcterms:modified>
</cp:coreProperties>
</file>