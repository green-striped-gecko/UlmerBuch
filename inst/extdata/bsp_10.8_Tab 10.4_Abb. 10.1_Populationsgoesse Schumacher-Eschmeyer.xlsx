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C7D39B5C-5B30-4A48-99BC-AADCB94E923E}" xr6:coauthVersionLast="47" xr6:coauthVersionMax="47" xr10:uidLastSave="{00000000-0000-0000-0000-000000000000}"/>
  <bookViews>
    <workbookView xWindow="180" yWindow="1840" windowWidth="19080" windowHeight="14780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  <sheet name="Tabelle5" sheetId="5" r:id="rId5"/>
    <sheet name="Tabelle6" sheetId="6" r:id="rId6"/>
    <sheet name="Tabelle7" sheetId="7" r:id="rId7"/>
    <sheet name="Tabelle8" sheetId="8" r:id="rId8"/>
    <sheet name="Tabelle9" sheetId="9" r:id="rId9"/>
    <sheet name="Tabelle10" sheetId="10" r:id="rId10"/>
    <sheet name="Tabelle11" sheetId="11" r:id="rId11"/>
    <sheet name="Tabelle12" sheetId="12" r:id="rId12"/>
    <sheet name="Tabelle13" sheetId="13" r:id="rId13"/>
    <sheet name="Tabelle14" sheetId="14" r:id="rId14"/>
    <sheet name="Tabelle15" sheetId="15" r:id="rId15"/>
    <sheet name="Tabelle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J16" i="1"/>
  <c r="H16" i="1" l="1"/>
  <c r="K16" i="1" s="1"/>
  <c r="F16" i="1" l="1"/>
  <c r="G17" i="1"/>
  <c r="G18" i="1"/>
  <c r="G19" i="1"/>
  <c r="G20" i="1"/>
  <c r="G21" i="1"/>
  <c r="G16" i="1"/>
  <c r="E16" i="1"/>
  <c r="D17" i="1"/>
  <c r="F17" i="1" l="1"/>
  <c r="J17" i="1"/>
  <c r="G22" i="1"/>
  <c r="E17" i="1"/>
  <c r="D18" i="1"/>
  <c r="J18" i="1" s="1"/>
  <c r="F18" i="1" l="1"/>
  <c r="D19" i="1"/>
  <c r="J19" i="1" s="1"/>
  <c r="E18" i="1"/>
  <c r="F19" i="1" l="1"/>
  <c r="D20" i="1"/>
  <c r="J20" i="1" s="1"/>
  <c r="E19" i="1"/>
  <c r="F20" i="1" l="1"/>
  <c r="D21" i="1"/>
  <c r="J21" i="1" s="1"/>
  <c r="E20" i="1"/>
  <c r="F21" i="1" l="1"/>
  <c r="F22" i="1" s="1"/>
  <c r="E21" i="1"/>
  <c r="E22" i="1" s="1"/>
  <c r="C26" i="1" l="1"/>
  <c r="C25" i="1"/>
  <c r="C24" i="1"/>
</calcChain>
</file>

<file path=xl/sharedStrings.xml><?xml version="1.0" encoding="utf-8"?>
<sst xmlns="http://schemas.openxmlformats.org/spreadsheetml/2006/main" count="31" uniqueCount="24">
  <si>
    <t>ni</t>
  </si>
  <si>
    <t>mi</t>
  </si>
  <si>
    <t>Mi</t>
  </si>
  <si>
    <t>miMi</t>
  </si>
  <si>
    <t>mi-Quadrat/ni</t>
  </si>
  <si>
    <t>i</t>
  </si>
  <si>
    <t>mi/ni</t>
  </si>
  <si>
    <t>Grafik</t>
  </si>
  <si>
    <t>Fanggelegenheit</t>
  </si>
  <si>
    <t>Anzahl Frösche, die bei Fanggelegenheit i gefangen wurden</t>
  </si>
  <si>
    <t>Anzahl markierter Frösche, die bei Fanggelegenheit i gefangen wurden</t>
  </si>
  <si>
    <t>Anzahl Frösche, die bei Fanggelegenheit i bereits markiert waren</t>
  </si>
  <si>
    <t>ni*Mi-Quadrat</t>
  </si>
  <si>
    <t>N</t>
  </si>
  <si>
    <t>geschätzte Populationsgröße</t>
  </si>
  <si>
    <t>95%-CI unten</t>
  </si>
  <si>
    <t>95%-CI oben</t>
  </si>
  <si>
    <t>95%-Ci</t>
  </si>
  <si>
    <t>Tab. 10.4 Beispiel 10.8, Schätzung der Populationsgröße von Acris crepitans mit der Schumacher &amp; Eschmeyer Methode für Modell Mt</t>
  </si>
  <si>
    <t>Datenquelle</t>
  </si>
  <si>
    <r>
      <t>Pyburn, W.F. (1958): Size and movements of a local population of cricket frogs (</t>
    </r>
    <r>
      <rPr>
        <i/>
        <sz val="12"/>
        <rFont val="Times New Roman"/>
        <family val="1"/>
      </rPr>
      <t>Acris crepitans</t>
    </r>
    <r>
      <rPr>
        <sz val="12"/>
        <rFont val="Times New Roman"/>
        <family val="1"/>
      </rPr>
      <t>). – Texas Journal of Science 10: 325–342</t>
    </r>
  </si>
  <si>
    <t>Parameterdefinitionen</t>
  </si>
  <si>
    <t>95%-Konfidenzintervall; bei 4 Freiheitsgraden 2,776</t>
  </si>
  <si>
    <t>Berechnung der Schätzwerte mit Zwischenschritten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</si>
</sst>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Geneva"/>
    </font>
    <font>
      <b/>
      <sz val="10"/>
      <name val="Geneva"/>
      <family val="2"/>
    </font>
    <font>
      <sz val="10"/>
      <name val="Geneva"/>
      <family val="2"/>
    </font>
    <font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Tabelle1!$K$15</c:f>
              <c:strCache>
                <c:ptCount val="1"/>
                <c:pt idx="0">
                  <c:v>mi/ni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Tabelle1!$J$16:$J$21</c:f>
              <c:numCache>
                <c:formatCode>General</c:formatCode>
                <c:ptCount val="6"/>
                <c:pt idx="0">
                  <c:v>0</c:v>
                </c:pt>
                <c:pt idx="1">
                  <c:v>109</c:v>
                </c:pt>
                <c:pt idx="2">
                  <c:v>227</c:v>
                </c:pt>
                <c:pt idx="3">
                  <c:v>335</c:v>
                </c:pt>
                <c:pt idx="4">
                  <c:v>384</c:v>
                </c:pt>
                <c:pt idx="5">
                  <c:v>471</c:v>
                </c:pt>
              </c:numCache>
            </c:numRef>
          </c:xVal>
          <c:yVal>
            <c:numRef>
              <c:f>Tabelle1!$K$16:$K$21</c:f>
              <c:numCache>
                <c:formatCode>0.00</c:formatCode>
                <c:ptCount val="6"/>
                <c:pt idx="0">
                  <c:v>0</c:v>
                </c:pt>
                <c:pt idx="1">
                  <c:v>0.11278195488721804</c:v>
                </c:pt>
                <c:pt idx="2">
                  <c:v>0.21739130434782608</c:v>
                </c:pt>
                <c:pt idx="3">
                  <c:v>0.31944444444444442</c:v>
                </c:pt>
                <c:pt idx="4">
                  <c:v>0.35074626865671643</c:v>
                </c:pt>
                <c:pt idx="5">
                  <c:v>0.45833333333333331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07-AD41-BD43-C0CA376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965087"/>
        <c:axId val="887029727"/>
      </c:scatterChart>
      <c:valAx>
        <c:axId val="88696508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de-DE" sz="1100" b="1">
                    <a:latin typeface="Helvetica" pitchFamily="2" charset="0"/>
                  </a:rPr>
                  <a:t>Anzahl bereits markierter Frösche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de-DE"/>
          </a:p>
        </c:txPr>
        <c:crossAx val="887029727"/>
        <c:crosses val="autoZero"/>
        <c:crossBetween val="midCat"/>
      </c:valAx>
      <c:valAx>
        <c:axId val="887029727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de-DE" sz="1100" b="1">
                    <a:latin typeface="Helvetica" pitchFamily="2" charset="0"/>
                  </a:rPr>
                  <a:t>Anteil markierter Frösche im Fang</a:t>
                </a:r>
              </a:p>
            </c:rich>
          </c:tx>
          <c:layout>
            <c:manualLayout>
              <c:xMode val="edge"/>
              <c:yMode val="edge"/>
              <c:x val="1.7587939698492462E-2"/>
              <c:y val="5.622770207616262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de-DE"/>
          </a:p>
        </c:txPr>
        <c:crossAx val="886965087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482600</xdr:colOff>
      <xdr:row>27</xdr:row>
      <xdr:rowOff>63500</xdr:rowOff>
    </xdr:from>
    <xdr:to>
      <xdr:col>10</xdr:col>
      <xdr:colOff>774700</xdr:colOff>
      <xdr:row>45</xdr:row>
      <xdr:rowOff>44450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3DF56026-AF9B-2D45-A9A3-66BA559AC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/>
  </sheetViews>
  <sheetFormatPr baseColWidth="10" defaultRowHeight="14" x14ac:dyDescent="0.2"/>
  <sheetData>
    <row r="1" spans="1:11" x14ac:dyDescent="0.2">
      <c r="A1" s="2" t="s">
        <v>18</v>
      </c>
    </row>
    <row r="2" spans="1:11" ht="16" x14ac:dyDescent="0.2">
      <c r="A2" s="3" t="s">
        <v>19</v>
      </c>
      <c r="B2" s="4" t="s">
        <v>20</v>
      </c>
    </row>
    <row r="3" spans="1:11" x14ac:dyDescent="0.2">
      <c r="A3" s="2"/>
    </row>
    <row r="4" spans="1:11" x14ac:dyDescent="0.2">
      <c r="A4" s="2" t="s">
        <v>21</v>
      </c>
    </row>
    <row r="5" spans="1:11" x14ac:dyDescent="0.2">
      <c r="A5" s="3" t="s">
        <v>5</v>
      </c>
      <c r="B5" s="3" t="s">
        <v>8</v>
      </c>
    </row>
    <row r="6" spans="1:11" x14ac:dyDescent="0.2">
      <c r="A6" s="3" t="s">
        <v>0</v>
      </c>
      <c r="B6" s="3" t="s">
        <v>9</v>
      </c>
    </row>
    <row r="7" spans="1:11" x14ac:dyDescent="0.2">
      <c r="A7" s="3" t="s">
        <v>1</v>
      </c>
      <c r="B7" s="3" t="s">
        <v>10</v>
      </c>
    </row>
    <row r="8" spans="1:11" x14ac:dyDescent="0.2">
      <c r="A8" s="3" t="s">
        <v>2</v>
      </c>
      <c r="B8" s="3" t="s">
        <v>11</v>
      </c>
    </row>
    <row r="9" spans="1:11" x14ac:dyDescent="0.2">
      <c r="A9" s="3" t="s">
        <v>0</v>
      </c>
      <c r="B9" s="3" t="s">
        <v>14</v>
      </c>
    </row>
    <row r="10" spans="1:11" x14ac:dyDescent="0.2">
      <c r="A10" s="3" t="s">
        <v>17</v>
      </c>
      <c r="B10" s="3" t="s">
        <v>22</v>
      </c>
    </row>
    <row r="11" spans="1:11" x14ac:dyDescent="0.2">
      <c r="A11" s="3"/>
      <c r="B11" s="3"/>
    </row>
    <row r="12" spans="1:11" x14ac:dyDescent="0.2">
      <c r="A12" s="3"/>
      <c r="B12" s="3"/>
    </row>
    <row r="13" spans="1:11" x14ac:dyDescent="0.2">
      <c r="A13" s="2" t="s">
        <v>23</v>
      </c>
    </row>
    <row r="14" spans="1:11" x14ac:dyDescent="0.2">
      <c r="J14" s="3" t="s">
        <v>7</v>
      </c>
    </row>
    <row r="15" spans="1:11" x14ac:dyDescent="0.2">
      <c r="A15" t="s">
        <v>5</v>
      </c>
      <c r="B15" t="s">
        <v>0</v>
      </c>
      <c r="C15" t="s">
        <v>1</v>
      </c>
      <c r="D15" t="s">
        <v>2</v>
      </c>
      <c r="E15" s="3" t="s">
        <v>12</v>
      </c>
      <c r="F15" t="s">
        <v>3</v>
      </c>
      <c r="G15" t="s">
        <v>4</v>
      </c>
      <c r="H15" t="s">
        <v>6</v>
      </c>
      <c r="J15" t="s">
        <v>2</v>
      </c>
      <c r="K15" t="s">
        <v>6</v>
      </c>
    </row>
    <row r="16" spans="1:11" x14ac:dyDescent="0.2">
      <c r="A16">
        <v>1</v>
      </c>
      <c r="B16">
        <v>109</v>
      </c>
      <c r="C16">
        <v>0</v>
      </c>
      <c r="D16">
        <v>0</v>
      </c>
      <c r="E16">
        <f t="shared" ref="E16:E21" si="0">B16*D16^2</f>
        <v>0</v>
      </c>
      <c r="F16">
        <f t="shared" ref="F16:F21" si="1">C16*D16</f>
        <v>0</v>
      </c>
      <c r="G16">
        <f t="shared" ref="G16:G21" si="2">C16^2/B16</f>
        <v>0</v>
      </c>
      <c r="H16" s="1">
        <f>C16/B16</f>
        <v>0</v>
      </c>
      <c r="I16" s="1"/>
      <c r="J16">
        <f>D16</f>
        <v>0</v>
      </c>
      <c r="K16" s="1">
        <f>H16</f>
        <v>0</v>
      </c>
    </row>
    <row r="17" spans="1:11" x14ac:dyDescent="0.2">
      <c r="A17">
        <v>2</v>
      </c>
      <c r="B17">
        <v>133</v>
      </c>
      <c r="C17">
        <v>15</v>
      </c>
      <c r="D17">
        <f>D16+B16-C16</f>
        <v>109</v>
      </c>
      <c r="E17">
        <f t="shared" si="0"/>
        <v>1580173</v>
      </c>
      <c r="F17">
        <f t="shared" si="1"/>
        <v>1635</v>
      </c>
      <c r="G17" s="1">
        <f t="shared" si="2"/>
        <v>1.6917293233082706</v>
      </c>
      <c r="H17" s="1">
        <f t="shared" ref="H17:H21" si="3">C17/B17</f>
        <v>0.11278195488721804</v>
      </c>
      <c r="I17" s="1"/>
      <c r="J17">
        <f t="shared" ref="J17:J21" si="4">D17</f>
        <v>109</v>
      </c>
      <c r="K17" s="1">
        <v>0.11278195488721804</v>
      </c>
    </row>
    <row r="18" spans="1:11" x14ac:dyDescent="0.2">
      <c r="A18">
        <v>3</v>
      </c>
      <c r="B18">
        <v>138</v>
      </c>
      <c r="C18">
        <v>30</v>
      </c>
      <c r="D18">
        <f>D17+B17-C17</f>
        <v>227</v>
      </c>
      <c r="E18">
        <f t="shared" si="0"/>
        <v>7111002</v>
      </c>
      <c r="F18">
        <f t="shared" si="1"/>
        <v>6810</v>
      </c>
      <c r="G18" s="1">
        <f t="shared" si="2"/>
        <v>6.5217391304347823</v>
      </c>
      <c r="H18" s="1">
        <f t="shared" si="3"/>
        <v>0.21739130434782608</v>
      </c>
      <c r="I18" s="1"/>
      <c r="J18">
        <f t="shared" si="4"/>
        <v>227</v>
      </c>
      <c r="K18" s="1">
        <v>0.21739130434782608</v>
      </c>
    </row>
    <row r="19" spans="1:11" x14ac:dyDescent="0.2">
      <c r="A19">
        <v>4</v>
      </c>
      <c r="B19">
        <v>72</v>
      </c>
      <c r="C19">
        <v>23</v>
      </c>
      <c r="D19">
        <f>D18+B18-C18</f>
        <v>335</v>
      </c>
      <c r="E19">
        <f t="shared" si="0"/>
        <v>8080200</v>
      </c>
      <c r="F19">
        <f t="shared" si="1"/>
        <v>7705</v>
      </c>
      <c r="G19" s="1">
        <f t="shared" si="2"/>
        <v>7.3472222222222223</v>
      </c>
      <c r="H19" s="1">
        <f t="shared" si="3"/>
        <v>0.31944444444444442</v>
      </c>
      <c r="I19" s="1"/>
      <c r="J19">
        <f t="shared" si="4"/>
        <v>335</v>
      </c>
      <c r="K19" s="1">
        <v>0.31944444444444442</v>
      </c>
    </row>
    <row r="20" spans="1:11" x14ac:dyDescent="0.2">
      <c r="A20">
        <v>5</v>
      </c>
      <c r="B20">
        <v>134</v>
      </c>
      <c r="C20">
        <v>47</v>
      </c>
      <c r="D20">
        <f>D19+B19-C19</f>
        <v>384</v>
      </c>
      <c r="E20">
        <f t="shared" si="0"/>
        <v>19759104</v>
      </c>
      <c r="F20">
        <f t="shared" si="1"/>
        <v>18048</v>
      </c>
      <c r="G20" s="1">
        <f t="shared" si="2"/>
        <v>16.485074626865671</v>
      </c>
      <c r="H20" s="1">
        <f t="shared" si="3"/>
        <v>0.35074626865671643</v>
      </c>
      <c r="I20" s="1"/>
      <c r="J20">
        <f t="shared" si="4"/>
        <v>384</v>
      </c>
      <c r="K20" s="1">
        <v>0.35074626865671643</v>
      </c>
    </row>
    <row r="21" spans="1:11" x14ac:dyDescent="0.2">
      <c r="A21">
        <v>6</v>
      </c>
      <c r="B21">
        <v>72</v>
      </c>
      <c r="C21">
        <v>33</v>
      </c>
      <c r="D21">
        <f>D20+B20-C20</f>
        <v>471</v>
      </c>
      <c r="E21">
        <f t="shared" si="0"/>
        <v>15972552</v>
      </c>
      <c r="F21">
        <f t="shared" si="1"/>
        <v>15543</v>
      </c>
      <c r="G21" s="1">
        <f t="shared" si="2"/>
        <v>15.125</v>
      </c>
      <c r="H21" s="1">
        <f t="shared" si="3"/>
        <v>0.45833333333333331</v>
      </c>
      <c r="I21" s="1"/>
      <c r="J21">
        <f t="shared" si="4"/>
        <v>471</v>
      </c>
      <c r="K21" s="1">
        <v>0.45833333333333331</v>
      </c>
    </row>
    <row r="22" spans="1:11" x14ac:dyDescent="0.2">
      <c r="E22">
        <f>SUM(E16:E21)</f>
        <v>52503031</v>
      </c>
      <c r="F22">
        <f>SUM(F16:F21)</f>
        <v>49741</v>
      </c>
      <c r="G22" s="1">
        <f>SUM(G16:G21)</f>
        <v>47.170765302830944</v>
      </c>
    </row>
    <row r="24" spans="1:11" x14ac:dyDescent="0.2">
      <c r="B24" s="3" t="s">
        <v>13</v>
      </c>
      <c r="C24">
        <f>E22/F22</f>
        <v>1055.5282563679862</v>
      </c>
    </row>
    <row r="25" spans="1:11" x14ac:dyDescent="0.2">
      <c r="B25" s="3" t="s">
        <v>15</v>
      </c>
      <c r="C25">
        <f>E22/(F22+2.776*((G22-F22^2/E22)*E22/(A21-2))^0.5)</f>
        <v>1011.4319789267429</v>
      </c>
    </row>
    <row r="26" spans="1:11" x14ac:dyDescent="0.2">
      <c r="B26" s="3" t="s">
        <v>16</v>
      </c>
      <c r="C26">
        <f>E22/(F22-2.776*((G22-F22^2/E22)*E22/(A21-2))^0.5)</f>
        <v>1103.6448169047237</v>
      </c>
    </row>
  </sheetData>
  <printOptions gridLines="1" gridLinesSet="0"/>
  <pageMargins left="0.78740157499999996" right="0.78740157499999996" top="0.984251969" bottom="0.984251969" header="0.4921259845" footer="0.4921259845"/>
  <pageSetup paperSize="0" orientation="portrait" horizontalDpi="4294967292" verticalDpi="4294967292"/>
  <headerFooter alignWithMargins="0">
    <oddHeader>&amp;A</oddHeader>
    <oddFooter>Seite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Tabelle1</vt:lpstr>
      <vt:lpstr>Tabelle2</vt:lpstr>
      <vt:lpstr>Tabelle3</vt:lpstr>
      <vt:lpstr>Tabelle4</vt:lpstr>
      <vt:lpstr>Tabelle5</vt:lpstr>
      <vt:lpstr>Tabelle6</vt:lpstr>
      <vt:lpstr>Tabelle7</vt:lpstr>
      <vt:lpstr>Tabelle8</vt:lpstr>
      <vt:lpstr>Tabelle9</vt:lpstr>
      <vt:lpstr>Tabelle10</vt:lpstr>
      <vt:lpstr>Tabelle11</vt:lpstr>
      <vt:lpstr>Tabelle12</vt:lpstr>
      <vt:lpstr>Tabelle13</vt:lpstr>
      <vt:lpstr>Tabelle14</vt:lpstr>
      <vt:lpstr>Tabelle15</vt:lpstr>
      <vt:lpstr>Tabelle16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UFZ</dc:creator>
  <cp:lastModifiedBy>Microsoft Office User</cp:lastModifiedBy>
  <dcterms:created xsi:type="dcterms:W3CDTF">2025-04-13T18:14:20Z</dcterms:created>
  <dcterms:modified xsi:type="dcterms:W3CDTF">2025-10-25T19:57:55Z</dcterms:modified>
</cp:coreProperties>
</file>