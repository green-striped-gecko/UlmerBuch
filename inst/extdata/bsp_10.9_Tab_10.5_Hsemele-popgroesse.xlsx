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9E1216F3-FDF7-E848-92BD-32EB88FBC673}" xr6:coauthVersionLast="47" xr6:coauthVersionMax="47" xr10:uidLastSave="{00000000-0000-0000-0000-000000000000}"/>
  <bookViews>
    <workbookView xWindow="2340" yWindow="500" windowWidth="16100" windowHeight="12240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  <sheet name="Tabelle5" sheetId="5" r:id="rId5"/>
    <sheet name="Tabelle6" sheetId="6" r:id="rId6"/>
    <sheet name="Tabelle7" sheetId="7" r:id="rId7"/>
    <sheet name="Tabelle8" sheetId="8" r:id="rId8"/>
    <sheet name="Tabelle9" sheetId="9" r:id="rId9"/>
    <sheet name="Tabelle10" sheetId="10" r:id="rId10"/>
    <sheet name="Tabelle11" sheetId="11" r:id="rId11"/>
    <sheet name="Tabelle12" sheetId="12" r:id="rId12"/>
    <sheet name="Tabelle13" sheetId="13" r:id="rId13"/>
    <sheet name="Tabelle14" sheetId="14" r:id="rId14"/>
    <sheet name="Tabelle15" sheetId="15" r:id="rId15"/>
    <sheet name="Tabelle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F15" i="1"/>
  <c r="F14" i="1"/>
  <c r="F13" i="1"/>
  <c r="E17" i="1"/>
  <c r="E16" i="1"/>
  <c r="E15" i="1"/>
  <c r="E14" i="1"/>
  <c r="E13" i="1"/>
  <c r="B18" i="1"/>
  <c r="D13" i="1" l="1"/>
  <c r="D14" i="1"/>
  <c r="D15" i="1"/>
  <c r="D16" i="1"/>
  <c r="D17" i="1"/>
  <c r="D18" i="1" s="1"/>
  <c r="D21" i="1" s="1"/>
  <c r="E18" i="1"/>
  <c r="F18" i="1"/>
  <c r="D22" i="1" l="1"/>
</calcChain>
</file>

<file path=xl/sharedStrings.xml><?xml version="1.0" encoding="utf-8"?>
<sst xmlns="http://schemas.openxmlformats.org/spreadsheetml/2006/main" count="25" uniqueCount="20">
  <si>
    <t>fi</t>
  </si>
  <si>
    <t>Xi</t>
  </si>
  <si>
    <t>(f1-Xi)^2*Xi</t>
  </si>
  <si>
    <t>N</t>
  </si>
  <si>
    <t>Var(N)</t>
  </si>
  <si>
    <t>i</t>
  </si>
  <si>
    <t>Summen</t>
  </si>
  <si>
    <t>Anzahl Individuen, die exakt i-mal gefangen wurden</t>
  </si>
  <si>
    <t>Geschätzte Populationsgröße</t>
  </si>
  <si>
    <t>Anzahl Falter, die nur bei Fanggelegenheit i gefangen wurden</t>
  </si>
  <si>
    <t>Xi^2</t>
  </si>
  <si>
    <t>(f1-Xi)*Xi</t>
  </si>
  <si>
    <t>Tab. 10.5, Beispiel 10.9: Geschätzte Populationsgröße von Hipparchia semele mit dem Moment-Schätzer für Modell Mt</t>
  </si>
  <si>
    <t>Datenquelle</t>
  </si>
  <si>
    <t>Parameterdefinitionen</t>
  </si>
  <si>
    <t>Feldmann, R., Henle, K., Settele, J. (1995): Applicability of mark-recapture methods to butterfly conservation research. – S. 624–626 in: Bissonette, J.A., Krausman, P.R. (Hrsg.): Integrating People and Wildlife for a Sustainable Future. – The Wildlife Society, Bethesda</t>
  </si>
  <si>
    <t>Feldmann unveröffentlicht, siehe auch:</t>
  </si>
  <si>
    <t>Mt+1</t>
  </si>
  <si>
    <t>Laufparameter (i=1,…., t)</t>
  </si>
  <si>
    <t>Summe aller markierten Falter inklusive der Markierung bei der letzten Fanggelegenheit (=Summe fi)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</si>
</sst>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Geneva"/>
    </font>
    <font>
      <sz val="10"/>
      <name val="Geneva"/>
      <family val="2"/>
    </font>
    <font>
      <b/>
      <sz val="10"/>
      <name val="Geneva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2" workbookViewId="0">
      <selection activeCell="D21" sqref="D21"/>
    </sheetView>
  </sheetViews>
  <sheetFormatPr baseColWidth="10" defaultRowHeight="14" x14ac:dyDescent="0.2"/>
  <sheetData>
    <row r="1" spans="1:6" x14ac:dyDescent="0.2">
      <c r="A1" s="2" t="s">
        <v>12</v>
      </c>
    </row>
    <row r="2" spans="1:6" x14ac:dyDescent="0.2">
      <c r="A2" s="1" t="s">
        <v>13</v>
      </c>
      <c r="B2" s="1" t="s">
        <v>16</v>
      </c>
    </row>
    <row r="3" spans="1:6" ht="16" x14ac:dyDescent="0.2">
      <c r="A3" s="2"/>
      <c r="B3" s="3" t="s">
        <v>15</v>
      </c>
    </row>
    <row r="4" spans="1:6" ht="16" x14ac:dyDescent="0.2">
      <c r="A4" s="2"/>
      <c r="B4" s="3"/>
    </row>
    <row r="5" spans="1:6" x14ac:dyDescent="0.2">
      <c r="A5" s="2" t="s">
        <v>14</v>
      </c>
    </row>
    <row r="6" spans="1:6" x14ac:dyDescent="0.2">
      <c r="A6" s="1" t="s">
        <v>5</v>
      </c>
      <c r="B6" s="1" t="s">
        <v>18</v>
      </c>
    </row>
    <row r="7" spans="1:6" x14ac:dyDescent="0.2">
      <c r="A7" s="1" t="s">
        <v>0</v>
      </c>
      <c r="B7" s="1" t="s">
        <v>7</v>
      </c>
    </row>
    <row r="8" spans="1:6" x14ac:dyDescent="0.2">
      <c r="A8" s="1" t="s">
        <v>17</v>
      </c>
      <c r="B8" s="1" t="s">
        <v>19</v>
      </c>
    </row>
    <row r="9" spans="1:6" x14ac:dyDescent="0.2">
      <c r="A9" s="1" t="s">
        <v>3</v>
      </c>
      <c r="B9" s="1" t="s">
        <v>8</v>
      </c>
    </row>
    <row r="10" spans="1:6" x14ac:dyDescent="0.2">
      <c r="A10" s="1" t="s">
        <v>1</v>
      </c>
      <c r="B10" s="1" t="s">
        <v>9</v>
      </c>
    </row>
    <row r="12" spans="1:6" x14ac:dyDescent="0.2">
      <c r="A12" t="s">
        <v>5</v>
      </c>
      <c r="B12" t="s">
        <v>0</v>
      </c>
      <c r="C12" t="s">
        <v>1</v>
      </c>
      <c r="D12" s="1" t="s">
        <v>10</v>
      </c>
      <c r="E12" t="s">
        <v>2</v>
      </c>
      <c r="F12" s="1" t="s">
        <v>11</v>
      </c>
    </row>
    <row r="13" spans="1:6" x14ac:dyDescent="0.2">
      <c r="A13">
        <v>1</v>
      </c>
      <c r="B13">
        <v>183</v>
      </c>
      <c r="C13">
        <v>34</v>
      </c>
      <c r="D13">
        <f>C13^2</f>
        <v>1156</v>
      </c>
      <c r="E13">
        <f>(B13-C13)^2*C13</f>
        <v>754834</v>
      </c>
      <c r="F13">
        <f>(B13-C13)*C13</f>
        <v>5066</v>
      </c>
    </row>
    <row r="14" spans="1:6" x14ac:dyDescent="0.2">
      <c r="A14">
        <v>2</v>
      </c>
      <c r="B14">
        <v>91</v>
      </c>
      <c r="C14">
        <v>29</v>
      </c>
      <c r="D14">
        <f>C14^2</f>
        <v>841</v>
      </c>
      <c r="E14">
        <f>(B13-C14)^2*C14</f>
        <v>687764</v>
      </c>
      <c r="F14">
        <f>(B13-C14)*C14</f>
        <v>4466</v>
      </c>
    </row>
    <row r="15" spans="1:6" x14ac:dyDescent="0.2">
      <c r="A15">
        <v>3</v>
      </c>
      <c r="B15">
        <v>16</v>
      </c>
      <c r="C15">
        <v>45</v>
      </c>
      <c r="D15">
        <f>C15^2</f>
        <v>2025</v>
      </c>
      <c r="E15">
        <f>(B13-C15)^2*C15</f>
        <v>856980</v>
      </c>
      <c r="F15">
        <f>(B13-C15)*C15</f>
        <v>6210</v>
      </c>
    </row>
    <row r="16" spans="1:6" x14ac:dyDescent="0.2">
      <c r="A16">
        <v>4</v>
      </c>
      <c r="B16">
        <v>4</v>
      </c>
      <c r="C16">
        <v>40</v>
      </c>
      <c r="D16">
        <f>C16^2</f>
        <v>1600</v>
      </c>
      <c r="E16">
        <f>(B13-C16)^2*C16</f>
        <v>817960</v>
      </c>
      <c r="F16">
        <f>(B13-C16)*C16</f>
        <v>5720</v>
      </c>
    </row>
    <row r="17" spans="1:6" x14ac:dyDescent="0.2">
      <c r="A17">
        <v>5</v>
      </c>
      <c r="B17">
        <v>0</v>
      </c>
      <c r="C17">
        <v>35</v>
      </c>
      <c r="D17">
        <f>C17^2</f>
        <v>1225</v>
      </c>
      <c r="E17">
        <f>(B13-C17)^2*C17</f>
        <v>766640</v>
      </c>
      <c r="F17">
        <f>(B13-C17)*C17</f>
        <v>5180</v>
      </c>
    </row>
    <row r="18" spans="1:6" x14ac:dyDescent="0.2">
      <c r="A18" t="s">
        <v>6</v>
      </c>
      <c r="B18">
        <f>SUM(B13:B17)</f>
        <v>294</v>
      </c>
      <c r="D18">
        <f>SUM(D13:D17)</f>
        <v>6847</v>
      </c>
      <c r="E18">
        <f>SUM(E13:E17)</f>
        <v>3884178</v>
      </c>
      <c r="F18">
        <f>SUM(F13:F17)</f>
        <v>26642</v>
      </c>
    </row>
    <row r="19" spans="1:6" x14ac:dyDescent="0.2">
      <c r="B19" s="1" t="s">
        <v>17</v>
      </c>
    </row>
    <row r="21" spans="1:6" x14ac:dyDescent="0.2">
      <c r="C21" t="s">
        <v>3</v>
      </c>
      <c r="D21">
        <f>B18+(B13^2-D18)/(2*(B14+1))</f>
        <v>438.79347826086956</v>
      </c>
    </row>
    <row r="22" spans="1:6" x14ac:dyDescent="0.2">
      <c r="C22" t="s">
        <v>4</v>
      </c>
      <c r="D22">
        <f>D21-B18+(D21-B18)^2*(1/(B14+1)+4/D21)+((E18-F18^2)/D21)/(B14+1)^2</f>
        <v>373.72139343960521</v>
      </c>
    </row>
  </sheetData>
  <printOptions gridLines="1" gridLinesSet="0"/>
  <pageMargins left="0.78740157499999996" right="0.78740157499999996" top="0.984251969" bottom="0.984251969" header="0.4921259845" footer="0.4921259845"/>
  <pageSetup paperSize="0" orientation="portrait" horizontalDpi="4294967292" verticalDpi="4294967292"/>
  <headerFooter alignWithMargins="0">
    <oddHeader>&amp;A</oddHeader>
    <oddFooter>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Tabelle1</vt:lpstr>
      <vt:lpstr>Tabelle2</vt:lpstr>
      <vt:lpstr>Tabelle3</vt:lpstr>
      <vt:lpstr>Tabelle4</vt:lpstr>
      <vt:lpstr>Tabelle5</vt:lpstr>
      <vt:lpstr>Tabelle6</vt:lpstr>
      <vt:lpstr>Tabelle7</vt:lpstr>
      <vt:lpstr>Tabelle8</vt:lpstr>
      <vt:lpstr>Tabelle9</vt:lpstr>
      <vt:lpstr>Tabelle10</vt:lpstr>
      <vt:lpstr>Tabelle11</vt:lpstr>
      <vt:lpstr>Tabelle12</vt:lpstr>
      <vt:lpstr>Tabelle13</vt:lpstr>
      <vt:lpstr>Tabelle14</vt:lpstr>
      <vt:lpstr>Tabelle15</vt:lpstr>
      <vt:lpstr>Tabelle16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2021-06-14T16:45:46Z</dcterms:created>
  <dcterms:modified xsi:type="dcterms:W3CDTF">2025-10-25T20:23:19Z</dcterms:modified>
</cp:coreProperties>
</file>