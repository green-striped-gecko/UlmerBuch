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7A78C990-8110-1C40-A2C0-AAC115FC3F28}" xr6:coauthVersionLast="47" xr6:coauthVersionMax="47" xr10:uidLastSave="{00000000-0000-0000-0000-000000000000}"/>
  <bookViews>
    <workbookView xWindow="2900" yWindow="500" windowWidth="19260" windowHeight="13600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 s="1"/>
  <c r="H19" i="1" s="1"/>
  <c r="H20" i="1" s="1"/>
  <c r="H21" i="1" s="1"/>
  <c r="H22" i="1" s="1"/>
  <c r="H23" i="1" s="1"/>
  <c r="H24" i="1" s="1"/>
  <c r="B17" i="1"/>
  <c r="B18" i="1" s="1"/>
  <c r="F16" i="1"/>
  <c r="G16" i="1" s="1"/>
  <c r="L16" i="1"/>
  <c r="M16" i="1" s="1"/>
  <c r="N16" i="1"/>
  <c r="O16" i="1"/>
  <c r="O17" i="1"/>
  <c r="O18" i="1"/>
  <c r="O19" i="1"/>
  <c r="O20" i="1"/>
  <c r="O21" i="1"/>
  <c r="O22" i="1"/>
  <c r="O23" i="1"/>
  <c r="O24" i="1"/>
  <c r="I25" i="1"/>
  <c r="N17" i="1" l="1"/>
  <c r="B19" i="1"/>
  <c r="N18" i="1"/>
  <c r="P16" i="1"/>
  <c r="P17" i="1"/>
  <c r="N19" i="1"/>
  <c r="B20" i="1"/>
  <c r="P19" i="1"/>
  <c r="F17" i="1"/>
  <c r="Q17" i="1"/>
  <c r="P18" i="1"/>
  <c r="Q16" i="1"/>
  <c r="L17" i="1"/>
  <c r="Q18" i="1"/>
  <c r="Q19" i="1"/>
  <c r="F18" i="1" l="1"/>
  <c r="G17" i="1"/>
  <c r="N20" i="1"/>
  <c r="B21" i="1"/>
  <c r="L18" i="1"/>
  <c r="M17" i="1"/>
  <c r="F19" i="1" l="1"/>
  <c r="G18" i="1"/>
  <c r="N21" i="1"/>
  <c r="P21" i="1" s="1"/>
  <c r="B22" i="1"/>
  <c r="P20" i="1"/>
  <c r="Q20" i="1"/>
  <c r="L19" i="1"/>
  <c r="M18" i="1"/>
  <c r="Q21" i="1" l="1"/>
  <c r="F20" i="1"/>
  <c r="G19" i="1"/>
  <c r="N22" i="1"/>
  <c r="P22" i="1" s="1"/>
  <c r="B23" i="1"/>
  <c r="L20" i="1"/>
  <c r="M19" i="1"/>
  <c r="G20" i="1" l="1"/>
  <c r="F21" i="1"/>
  <c r="Q22" i="1"/>
  <c r="N23" i="1"/>
  <c r="P23" i="1" s="1"/>
  <c r="B24" i="1"/>
  <c r="L21" i="1"/>
  <c r="M20" i="1"/>
  <c r="Q23" i="1" l="1"/>
  <c r="F22" i="1"/>
  <c r="G21" i="1"/>
  <c r="N24" i="1"/>
  <c r="P24" i="1" s="1"/>
  <c r="P25" i="1" s="1"/>
  <c r="L22" i="1"/>
  <c r="M21" i="1"/>
  <c r="G22" i="1" l="1"/>
  <c r="F23" i="1"/>
  <c r="Q24" i="1"/>
  <c r="Q25" i="1" s="1"/>
  <c r="P27" i="1" s="1"/>
  <c r="L23" i="1"/>
  <c r="M22" i="1"/>
  <c r="F24" i="1" l="1"/>
  <c r="G24" i="1" s="1"/>
  <c r="G23" i="1"/>
  <c r="M23" i="1"/>
  <c r="L24" i="1"/>
  <c r="M24" i="1" s="1"/>
</calcChain>
</file>

<file path=xl/sharedStrings.xml><?xml version="1.0" encoding="utf-8"?>
<sst xmlns="http://schemas.openxmlformats.org/spreadsheetml/2006/main" count="45" uniqueCount="37">
  <si>
    <t>Survival</t>
  </si>
  <si>
    <t>Var(Surv)</t>
  </si>
  <si>
    <t>Woche j</t>
  </si>
  <si>
    <t>d2j</t>
  </si>
  <si>
    <t>d1j</t>
  </si>
  <si>
    <t>Var(d2j)</t>
  </si>
  <si>
    <t>n1j</t>
  </si>
  <si>
    <t>a1j ; a2j</t>
  </si>
  <si>
    <t>d1j ; d2j</t>
  </si>
  <si>
    <t>n1j ; n2j</t>
  </si>
  <si>
    <t>Zeitpunkte im Jahr 1 bzw 2, an denen Mortalität auftrat</t>
  </si>
  <si>
    <r>
      <t xml:space="preserve">Anzahl Todesfälle im Jahr 1 bzw. Jahr 2 zum Zeitpunkt </t>
    </r>
    <r>
      <rPr>
        <i/>
        <sz val="11"/>
        <rFont val="Calibri"/>
        <family val="2"/>
      </rPr>
      <t>a</t>
    </r>
    <r>
      <rPr>
        <i/>
        <vertAlign val="subscript"/>
        <sz val="11"/>
        <rFont val="Calibri"/>
        <family val="2"/>
      </rPr>
      <t>j</t>
    </r>
    <r>
      <rPr>
        <sz val="11"/>
        <rFont val="Calibri"/>
        <family val="2"/>
      </rPr>
      <t xml:space="preserve"> </t>
    </r>
  </si>
  <si>
    <r>
      <t xml:space="preserve">Anzahl der Individuen, die im Jahr 1 bzw. 2 zum Zeitpunkt </t>
    </r>
    <r>
      <rPr>
        <i/>
        <sz val="11"/>
        <rFont val="Calibri"/>
        <family val="2"/>
      </rPr>
      <t>a</t>
    </r>
    <r>
      <rPr>
        <i/>
        <vertAlign val="subscript"/>
        <sz val="11"/>
        <rFont val="Calibri"/>
        <family val="2"/>
      </rPr>
      <t>j</t>
    </r>
    <r>
      <rPr>
        <sz val="11"/>
        <rFont val="Calibri"/>
        <family val="2"/>
      </rPr>
      <t xml:space="preserve"> unter Beobachtung standen</t>
    </r>
  </si>
  <si>
    <t>censored (Na)</t>
  </si>
  <si>
    <t>Anzahl der Wachteln, die aufgrund fehlender Sendersignale für eine weitere Kontrolle nicht mehr zur Verfügung standen</t>
  </si>
  <si>
    <t>Nh</t>
  </si>
  <si>
    <t>Na (censored)</t>
  </si>
  <si>
    <t>Anzahl neu in die Kontrolle aufgenommener Individuen</t>
  </si>
  <si>
    <t>Herbst 1985</t>
  </si>
  <si>
    <t>Herbst 1986</t>
  </si>
  <si>
    <t>n2j</t>
  </si>
  <si>
    <t>n1j+n2j</t>
  </si>
  <si>
    <t>d1j+d2j</t>
  </si>
  <si>
    <t>Daten</t>
  </si>
  <si>
    <t>Schätzwert</t>
  </si>
  <si>
    <t>Chi-Quadrat Test auf Unterschiede zwischen den Jahren</t>
  </si>
  <si>
    <t>mit einem Freiheitsgrad</t>
  </si>
  <si>
    <t>dj</t>
  </si>
  <si>
    <t>nj</t>
  </si>
  <si>
    <t>dj*n2j/nj</t>
  </si>
  <si>
    <t>Chi-Quadrat-Test-Statistik</t>
  </si>
  <si>
    <r>
      <rPr>
        <sz val="9"/>
        <rFont val="Symbol"/>
        <charset val="2"/>
      </rPr>
      <t>a</t>
    </r>
    <r>
      <rPr>
        <sz val="9"/>
        <rFont val="Geneva"/>
        <family val="2"/>
      </rPr>
      <t xml:space="preserve"> &lt; 0,05</t>
    </r>
  </si>
  <si>
    <t>Die Übelebenskurven unterscheiden sich also signifikant zwischen den beiden Jahren</t>
  </si>
  <si>
    <t>Datenquelle</t>
  </si>
  <si>
    <t>Tab. 7.2 und 7.3, Beispiel 7.4 Schätzung der Überlebensraten von Virginia-Wachteln mit Kaplan-Meier-Methode</t>
  </si>
  <si>
    <t>Parameterdefinitionen</t>
  </si>
  <si>
    <r>
      <t>Survival (</t>
    </r>
    <r>
      <rPr>
        <sz val="9"/>
        <rFont val="Symbol"/>
        <charset val="2"/>
      </rPr>
      <t>f</t>
    </r>
    <r>
      <rPr>
        <sz val="9"/>
        <rFont val="Geneva"/>
        <family val="2"/>
      </rPr>
      <t>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</si>
</sst>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9"/>
      <name val="Geneva"/>
    </font>
    <font>
      <sz val="11"/>
      <name val="Arial"/>
      <family val="2"/>
    </font>
    <font>
      <sz val="9"/>
      <name val="Geneva"/>
      <family val="2"/>
    </font>
    <font>
      <b/>
      <sz val="9"/>
      <name val="Geneva"/>
      <family val="2"/>
    </font>
    <font>
      <sz val="11"/>
      <name val="Calibri"/>
      <family val="2"/>
    </font>
    <font>
      <i/>
      <sz val="11"/>
      <name val="Calibri"/>
      <family val="2"/>
    </font>
    <font>
      <i/>
      <vertAlign val="subscript"/>
      <sz val="11"/>
      <name val="Calibri"/>
      <family val="2"/>
    </font>
    <font>
      <sz val="9"/>
      <name val="Symbol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workbookViewId="0"/>
  </sheetViews>
  <sheetFormatPr baseColWidth="10" defaultRowHeight="13" x14ac:dyDescent="0.2"/>
  <cols>
    <col min="16" max="16" width="19" customWidth="1"/>
  </cols>
  <sheetData>
    <row r="1" spans="1:17" x14ac:dyDescent="0.2">
      <c r="A1" s="3" t="s">
        <v>34</v>
      </c>
    </row>
    <row r="2" spans="1:17" x14ac:dyDescent="0.2">
      <c r="A2" s="2" t="s">
        <v>33</v>
      </c>
    </row>
    <row r="3" spans="1:17" x14ac:dyDescent="0.2">
      <c r="A3" s="3"/>
    </row>
    <row r="4" spans="1:17" x14ac:dyDescent="0.2">
      <c r="A4" s="3" t="s">
        <v>35</v>
      </c>
    </row>
    <row r="5" spans="1:17" ht="15" x14ac:dyDescent="0.2">
      <c r="A5" s="2" t="s">
        <v>7</v>
      </c>
      <c r="B5" s="4" t="s">
        <v>10</v>
      </c>
    </row>
    <row r="6" spans="1:17" ht="17" x14ac:dyDescent="0.25">
      <c r="A6" s="2" t="s">
        <v>8</v>
      </c>
      <c r="B6" s="4" t="s">
        <v>11</v>
      </c>
    </row>
    <row r="7" spans="1:17" x14ac:dyDescent="0.2">
      <c r="A7" s="2" t="s">
        <v>27</v>
      </c>
      <c r="B7" s="2" t="s">
        <v>22</v>
      </c>
    </row>
    <row r="8" spans="1:17" ht="17" x14ac:dyDescent="0.25">
      <c r="A8" s="2" t="s">
        <v>9</v>
      </c>
      <c r="B8" s="4" t="s">
        <v>12</v>
      </c>
    </row>
    <row r="9" spans="1:17" ht="15" x14ac:dyDescent="0.2">
      <c r="A9" s="2" t="s">
        <v>28</v>
      </c>
      <c r="B9" s="4" t="s">
        <v>21</v>
      </c>
    </row>
    <row r="10" spans="1:17" ht="15" x14ac:dyDescent="0.2">
      <c r="A10" s="2" t="s">
        <v>16</v>
      </c>
      <c r="B10" s="4" t="s">
        <v>14</v>
      </c>
    </row>
    <row r="11" spans="1:17" ht="15" x14ac:dyDescent="0.2">
      <c r="A11" s="2" t="s">
        <v>15</v>
      </c>
      <c r="B11" s="4" t="s">
        <v>17</v>
      </c>
    </row>
    <row r="13" spans="1:17" x14ac:dyDescent="0.2">
      <c r="D13" s="3" t="s">
        <v>23</v>
      </c>
      <c r="F13" s="3" t="s">
        <v>24</v>
      </c>
      <c r="J13" s="3" t="s">
        <v>23</v>
      </c>
      <c r="L13" s="3" t="s">
        <v>24</v>
      </c>
      <c r="N13" s="3" t="s">
        <v>25</v>
      </c>
    </row>
    <row r="14" spans="1:17" x14ac:dyDescent="0.2">
      <c r="C14" s="2" t="s">
        <v>18</v>
      </c>
      <c r="I14" s="2" t="s">
        <v>19</v>
      </c>
    </row>
    <row r="15" spans="1:17" x14ac:dyDescent="0.2">
      <c r="A15" t="s">
        <v>2</v>
      </c>
      <c r="B15" s="2" t="s">
        <v>6</v>
      </c>
      <c r="C15" t="s">
        <v>4</v>
      </c>
      <c r="D15" s="2" t="s">
        <v>13</v>
      </c>
      <c r="E15" s="2" t="s">
        <v>15</v>
      </c>
      <c r="F15" s="2" t="s">
        <v>36</v>
      </c>
      <c r="G15" t="s">
        <v>1</v>
      </c>
      <c r="H15" s="2" t="s">
        <v>20</v>
      </c>
      <c r="I15" t="s">
        <v>3</v>
      </c>
      <c r="J15" s="2" t="s">
        <v>13</v>
      </c>
      <c r="K15" s="2" t="s">
        <v>15</v>
      </c>
      <c r="L15" t="s">
        <v>0</v>
      </c>
      <c r="M15" t="s">
        <v>1</v>
      </c>
      <c r="N15" s="2" t="s">
        <v>28</v>
      </c>
      <c r="O15" s="2" t="s">
        <v>27</v>
      </c>
      <c r="P15" s="2" t="s">
        <v>29</v>
      </c>
      <c r="Q15" t="s">
        <v>5</v>
      </c>
    </row>
    <row r="16" spans="1:17" x14ac:dyDescent="0.2">
      <c r="A16">
        <v>1</v>
      </c>
      <c r="B16">
        <v>7</v>
      </c>
      <c r="C16">
        <v>1</v>
      </c>
      <c r="D16">
        <v>0</v>
      </c>
      <c r="E16">
        <v>0</v>
      </c>
      <c r="F16">
        <f>1-C16/B16</f>
        <v>0.85714285714285721</v>
      </c>
      <c r="G16">
        <f>F16^2*(1-F16)/B16</f>
        <v>1.4993752603082045E-2</v>
      </c>
      <c r="H16">
        <v>7</v>
      </c>
      <c r="I16">
        <v>0</v>
      </c>
      <c r="J16">
        <v>1</v>
      </c>
      <c r="K16">
        <v>0</v>
      </c>
      <c r="L16">
        <f>1-I16/H16</f>
        <v>1</v>
      </c>
      <c r="M16">
        <f>L16^2*(1-L16)/H16</f>
        <v>0</v>
      </c>
      <c r="N16">
        <f>H16+B16</f>
        <v>14</v>
      </c>
      <c r="O16">
        <f>C16+I16</f>
        <v>1</v>
      </c>
      <c r="P16">
        <f>O16*H16/N16</f>
        <v>0.5</v>
      </c>
      <c r="Q16">
        <f>O16*B16*H16*(N16-O16)/N16^2/(N16-1)</f>
        <v>0.25</v>
      </c>
    </row>
    <row r="17" spans="1:17" x14ac:dyDescent="0.2">
      <c r="A17">
        <v>2</v>
      </c>
      <c r="B17">
        <f>B16-C16-D16+E16</f>
        <v>6</v>
      </c>
      <c r="C17">
        <v>0</v>
      </c>
      <c r="D17">
        <v>0</v>
      </c>
      <c r="E17">
        <v>2</v>
      </c>
      <c r="F17">
        <f>F16*(1-C17/B17)</f>
        <v>0.85714285714285721</v>
      </c>
      <c r="G17">
        <f t="shared" ref="G17:G24" si="0">F17^2*(1-F17)/B17</f>
        <v>1.7492711370262388E-2</v>
      </c>
      <c r="H17">
        <f>H16-I16-J16+K16</f>
        <v>6</v>
      </c>
      <c r="I17">
        <v>0</v>
      </c>
      <c r="J17">
        <v>0</v>
      </c>
      <c r="K17">
        <v>5</v>
      </c>
      <c r="L17">
        <f>L16*(1-I17/H17)</f>
        <v>1</v>
      </c>
      <c r="M17">
        <f t="shared" ref="M17:M24" si="1">L17^2*(1-L17)/H17</f>
        <v>0</v>
      </c>
      <c r="N17">
        <f t="shared" ref="N17:N24" si="2">H17+B17</f>
        <v>12</v>
      </c>
      <c r="O17">
        <f t="shared" ref="O17:O24" si="3">C17+I17</f>
        <v>0</v>
      </c>
      <c r="P17">
        <f t="shared" ref="P17:P24" si="4">O17*H17/N17</f>
        <v>0</v>
      </c>
      <c r="Q17">
        <f t="shared" ref="Q17:Q24" si="5">O17*B17*H17*(N17-O17)/N17^2/(N17-1)</f>
        <v>0</v>
      </c>
    </row>
    <row r="18" spans="1:17" x14ac:dyDescent="0.2">
      <c r="A18">
        <v>3</v>
      </c>
      <c r="B18">
        <f t="shared" ref="B18:B24" si="6">B17-C17-D17+E17</f>
        <v>8</v>
      </c>
      <c r="C18">
        <v>0</v>
      </c>
      <c r="D18">
        <v>0</v>
      </c>
      <c r="E18">
        <v>5</v>
      </c>
      <c r="F18">
        <f t="shared" ref="F18:F24" si="7">F17*(1-C18/B18)</f>
        <v>0.85714285714285721</v>
      </c>
      <c r="G18">
        <f t="shared" si="0"/>
        <v>1.311953352769679E-2</v>
      </c>
      <c r="H18">
        <f t="shared" ref="H18:H24" si="8">H17-I17-J17+K17</f>
        <v>11</v>
      </c>
      <c r="I18">
        <v>1</v>
      </c>
      <c r="J18">
        <v>0</v>
      </c>
      <c r="K18">
        <v>0</v>
      </c>
      <c r="L18">
        <f t="shared" ref="L18:L24" si="9">L17*(1-I18/H18)</f>
        <v>0.90909090909090906</v>
      </c>
      <c r="M18">
        <f t="shared" si="1"/>
        <v>6.8301345536507093E-3</v>
      </c>
      <c r="N18">
        <f t="shared" si="2"/>
        <v>19</v>
      </c>
      <c r="O18">
        <f t="shared" si="3"/>
        <v>1</v>
      </c>
      <c r="P18">
        <f t="shared" si="4"/>
        <v>0.57894736842105265</v>
      </c>
      <c r="Q18">
        <f t="shared" si="5"/>
        <v>0.24376731301939059</v>
      </c>
    </row>
    <row r="19" spans="1:17" x14ac:dyDescent="0.2">
      <c r="A19">
        <v>4</v>
      </c>
      <c r="B19">
        <f t="shared" si="6"/>
        <v>13</v>
      </c>
      <c r="C19">
        <v>0</v>
      </c>
      <c r="D19">
        <v>1</v>
      </c>
      <c r="E19">
        <v>6</v>
      </c>
      <c r="F19">
        <f t="shared" si="7"/>
        <v>0.85714285714285721</v>
      </c>
      <c r="G19">
        <f t="shared" si="0"/>
        <v>8.0735590939672551E-3</v>
      </c>
      <c r="H19">
        <f t="shared" si="8"/>
        <v>10</v>
      </c>
      <c r="I19">
        <v>0</v>
      </c>
      <c r="J19">
        <v>0</v>
      </c>
      <c r="K19">
        <v>6</v>
      </c>
      <c r="L19">
        <f t="shared" si="9"/>
        <v>0.90909090909090906</v>
      </c>
      <c r="M19">
        <f t="shared" si="1"/>
        <v>7.5131480090157802E-3</v>
      </c>
      <c r="N19">
        <f t="shared" si="2"/>
        <v>23</v>
      </c>
      <c r="O19">
        <f t="shared" si="3"/>
        <v>0</v>
      </c>
      <c r="P19">
        <f t="shared" si="4"/>
        <v>0</v>
      </c>
      <c r="Q19">
        <f t="shared" si="5"/>
        <v>0</v>
      </c>
    </row>
    <row r="20" spans="1:17" x14ac:dyDescent="0.2">
      <c r="A20">
        <v>5</v>
      </c>
      <c r="B20">
        <f t="shared" si="6"/>
        <v>18</v>
      </c>
      <c r="C20">
        <v>0</v>
      </c>
      <c r="D20">
        <v>0</v>
      </c>
      <c r="E20">
        <v>0</v>
      </c>
      <c r="F20">
        <f t="shared" si="7"/>
        <v>0.85714285714285721</v>
      </c>
      <c r="G20">
        <f t="shared" si="0"/>
        <v>5.8309037900874626E-3</v>
      </c>
      <c r="H20">
        <f t="shared" si="8"/>
        <v>16</v>
      </c>
      <c r="I20">
        <v>1</v>
      </c>
      <c r="J20">
        <v>0</v>
      </c>
      <c r="K20">
        <v>0</v>
      </c>
      <c r="L20">
        <f t="shared" si="9"/>
        <v>0.85227272727272729</v>
      </c>
      <c r="M20">
        <f t="shared" si="1"/>
        <v>6.7065301288974453E-3</v>
      </c>
      <c r="N20">
        <f t="shared" si="2"/>
        <v>34</v>
      </c>
      <c r="O20">
        <f t="shared" si="3"/>
        <v>1</v>
      </c>
      <c r="P20">
        <f t="shared" si="4"/>
        <v>0.47058823529411764</v>
      </c>
      <c r="Q20">
        <f t="shared" si="5"/>
        <v>0.2491349480968858</v>
      </c>
    </row>
    <row r="21" spans="1:17" x14ac:dyDescent="0.2">
      <c r="A21">
        <v>6</v>
      </c>
      <c r="B21">
        <f t="shared" si="6"/>
        <v>18</v>
      </c>
      <c r="C21">
        <v>0</v>
      </c>
      <c r="D21">
        <v>0</v>
      </c>
      <c r="E21">
        <v>0</v>
      </c>
      <c r="F21">
        <f t="shared" si="7"/>
        <v>0.85714285714285721</v>
      </c>
      <c r="G21">
        <f t="shared" si="0"/>
        <v>5.8309037900874626E-3</v>
      </c>
      <c r="H21">
        <f t="shared" si="8"/>
        <v>15</v>
      </c>
      <c r="I21">
        <v>0</v>
      </c>
      <c r="J21">
        <v>0</v>
      </c>
      <c r="K21">
        <v>0</v>
      </c>
      <c r="L21">
        <f t="shared" si="9"/>
        <v>0.85227272727272729</v>
      </c>
      <c r="M21">
        <f t="shared" si="1"/>
        <v>7.1536321374906084E-3</v>
      </c>
      <c r="N21">
        <f t="shared" si="2"/>
        <v>33</v>
      </c>
      <c r="O21">
        <f t="shared" si="3"/>
        <v>0</v>
      </c>
      <c r="P21">
        <f t="shared" si="4"/>
        <v>0</v>
      </c>
      <c r="Q21">
        <f t="shared" si="5"/>
        <v>0</v>
      </c>
    </row>
    <row r="22" spans="1:17" x14ac:dyDescent="0.2">
      <c r="A22">
        <v>7</v>
      </c>
      <c r="B22">
        <f t="shared" si="6"/>
        <v>18</v>
      </c>
      <c r="C22">
        <v>0</v>
      </c>
      <c r="D22">
        <v>0</v>
      </c>
      <c r="E22">
        <v>0</v>
      </c>
      <c r="F22">
        <f t="shared" si="7"/>
        <v>0.85714285714285721</v>
      </c>
      <c r="G22">
        <f t="shared" si="0"/>
        <v>5.8309037900874626E-3</v>
      </c>
      <c r="H22">
        <f t="shared" si="8"/>
        <v>15</v>
      </c>
      <c r="I22">
        <v>1</v>
      </c>
      <c r="J22">
        <v>0</v>
      </c>
      <c r="K22">
        <v>0</v>
      </c>
      <c r="L22">
        <f t="shared" si="9"/>
        <v>0.79545454545454553</v>
      </c>
      <c r="M22">
        <f t="shared" si="1"/>
        <v>8.6283809166040563E-3</v>
      </c>
      <c r="N22">
        <f t="shared" si="2"/>
        <v>33</v>
      </c>
      <c r="O22">
        <f t="shared" si="3"/>
        <v>1</v>
      </c>
      <c r="P22">
        <f t="shared" si="4"/>
        <v>0.45454545454545453</v>
      </c>
      <c r="Q22">
        <f t="shared" si="5"/>
        <v>0.24793388429752067</v>
      </c>
    </row>
    <row r="23" spans="1:17" x14ac:dyDescent="0.2">
      <c r="A23">
        <v>8</v>
      </c>
      <c r="B23">
        <f t="shared" si="6"/>
        <v>18</v>
      </c>
      <c r="C23">
        <v>0</v>
      </c>
      <c r="D23">
        <v>0</v>
      </c>
      <c r="E23">
        <v>0</v>
      </c>
      <c r="F23">
        <f t="shared" si="7"/>
        <v>0.85714285714285721</v>
      </c>
      <c r="G23">
        <f t="shared" si="0"/>
        <v>5.8309037900874626E-3</v>
      </c>
      <c r="H23">
        <f t="shared" si="8"/>
        <v>14</v>
      </c>
      <c r="I23">
        <v>0</v>
      </c>
      <c r="J23">
        <v>0</v>
      </c>
      <c r="K23">
        <v>0</v>
      </c>
      <c r="L23">
        <f t="shared" si="9"/>
        <v>0.79545454545454553</v>
      </c>
      <c r="M23">
        <f t="shared" si="1"/>
        <v>9.2446938392186321E-3</v>
      </c>
      <c r="N23">
        <f t="shared" si="2"/>
        <v>32</v>
      </c>
      <c r="O23">
        <f t="shared" si="3"/>
        <v>0</v>
      </c>
      <c r="P23">
        <f t="shared" si="4"/>
        <v>0</v>
      </c>
      <c r="Q23">
        <f t="shared" si="5"/>
        <v>0</v>
      </c>
    </row>
    <row r="24" spans="1:17" x14ac:dyDescent="0.2">
      <c r="A24">
        <v>9</v>
      </c>
      <c r="B24">
        <f t="shared" si="6"/>
        <v>18</v>
      </c>
      <c r="C24">
        <v>0</v>
      </c>
      <c r="D24">
        <v>0</v>
      </c>
      <c r="E24">
        <v>1</v>
      </c>
      <c r="F24">
        <f t="shared" si="7"/>
        <v>0.85714285714285721</v>
      </c>
      <c r="G24">
        <f t="shared" si="0"/>
        <v>5.8309037900874626E-3</v>
      </c>
      <c r="H24">
        <f t="shared" si="8"/>
        <v>14</v>
      </c>
      <c r="I24">
        <v>3</v>
      </c>
      <c r="J24">
        <v>0</v>
      </c>
      <c r="K24">
        <v>0</v>
      </c>
      <c r="L24">
        <f t="shared" si="9"/>
        <v>0.625</v>
      </c>
      <c r="M24">
        <f t="shared" si="1"/>
        <v>1.0463169642857142E-2</v>
      </c>
      <c r="N24">
        <f t="shared" si="2"/>
        <v>32</v>
      </c>
      <c r="O24">
        <f t="shared" si="3"/>
        <v>3</v>
      </c>
      <c r="P24">
        <f t="shared" si="4"/>
        <v>1.3125</v>
      </c>
      <c r="Q24">
        <f t="shared" si="5"/>
        <v>0.69065020161290325</v>
      </c>
    </row>
    <row r="25" spans="1:17" x14ac:dyDescent="0.2">
      <c r="I25">
        <f>SUM(I16:I24)</f>
        <v>6</v>
      </c>
      <c r="P25">
        <f>SUM(P16:P24)</f>
        <v>3.316581058260625</v>
      </c>
      <c r="Q25">
        <f>SUM(Q16:Q24)</f>
        <v>1.6814863470267003</v>
      </c>
    </row>
    <row r="27" spans="1:17" x14ac:dyDescent="0.2">
      <c r="N27" s="2" t="s">
        <v>30</v>
      </c>
      <c r="P27">
        <f>(I25-P25)^2/Q25</f>
        <v>4.2823643674647851</v>
      </c>
      <c r="Q27" s="2" t="s">
        <v>31</v>
      </c>
    </row>
    <row r="28" spans="1:17" x14ac:dyDescent="0.2">
      <c r="N28" s="2" t="s">
        <v>26</v>
      </c>
    </row>
    <row r="29" spans="1:17" ht="14" x14ac:dyDescent="0.2">
      <c r="H29" s="1"/>
      <c r="I29" s="1"/>
      <c r="N29" s="2" t="s">
        <v>32</v>
      </c>
    </row>
    <row r="30" spans="1:17" ht="14" x14ac:dyDescent="0.2">
      <c r="H30" s="1"/>
      <c r="I30" s="1"/>
    </row>
    <row r="31" spans="1:17" ht="14" x14ac:dyDescent="0.2">
      <c r="H31" s="1"/>
      <c r="I31" s="1"/>
    </row>
    <row r="32" spans="1:17" ht="14" x14ac:dyDescent="0.2">
      <c r="H32" s="1"/>
      <c r="I32" s="1"/>
    </row>
    <row r="33" spans="8:9" ht="14" x14ac:dyDescent="0.2">
      <c r="H33" s="1"/>
      <c r="I33" s="1"/>
    </row>
    <row r="34" spans="8:9" ht="14" x14ac:dyDescent="0.2">
      <c r="H34" s="1"/>
      <c r="I34" s="1"/>
    </row>
    <row r="35" spans="8:9" ht="14" x14ac:dyDescent="0.2">
      <c r="H35" s="1"/>
      <c r="I35" s="1"/>
    </row>
    <row r="36" spans="8:9" ht="14" x14ac:dyDescent="0.2">
      <c r="H36" s="1"/>
      <c r="I36" s="1"/>
    </row>
    <row r="37" spans="8:9" ht="14" x14ac:dyDescent="0.2">
      <c r="H37" s="1"/>
      <c r="I37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3" x14ac:dyDescent="0.2"/>
  <sheetData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" x14ac:dyDescent="0.2"/>
  <sheetData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Klaus Henle</dc:creator>
  <cp:lastModifiedBy>Microsoft Office User</cp:lastModifiedBy>
  <dcterms:created xsi:type="dcterms:W3CDTF">2000-01-16T20:26:30Z</dcterms:created>
  <dcterms:modified xsi:type="dcterms:W3CDTF">2025-10-24T13:46:34Z</dcterms:modified>
</cp:coreProperties>
</file>